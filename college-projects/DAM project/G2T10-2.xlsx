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radiplahiri/Desktop/IIM Trichy notes/Trimester-4/DAM Total/DAM_mine/DAM Final Project/"/>
    </mc:Choice>
  </mc:AlternateContent>
  <xr:revisionPtr revIDLastSave="0" documentId="13_ncr:1_{F2AC21DC-EB1F-2A4B-A87E-312388F43FCE}" xr6:coauthVersionLast="47" xr6:coauthVersionMax="47" xr10:uidLastSave="{00000000-0000-0000-0000-000000000000}"/>
  <bookViews>
    <workbookView xWindow="0" yWindow="720" windowWidth="29400" windowHeight="18400" activeTab="3" xr2:uid="{73853451-AFF4-4639-A3F0-45229B16BD51}"/>
  </bookViews>
  <sheets>
    <sheet name="Main" sheetId="1" r:id="rId1"/>
    <sheet name="TOPSIS-Bowlers" sheetId="35" r:id="rId2"/>
    <sheet name="TOPSIS-All rounders" sheetId="34" r:id="rId3"/>
    <sheet name="TOPSIS-Batters" sheetId="33" r:id="rId4"/>
    <sheet name="Target-Batters" sheetId="23" r:id="rId5"/>
    <sheet name="Slack-Batters" sheetId="22" r:id="rId6"/>
    <sheet name="Efficiency-Batters" sheetId="21" r:id="rId7"/>
    <sheet name="Target-Bowlers" sheetId="28" r:id="rId8"/>
    <sheet name="Slack-Bowlers" sheetId="27" r:id="rId9"/>
    <sheet name="Efficiency-Bowlers" sheetId="26" r:id="rId10"/>
    <sheet name="Target-All rounders" sheetId="32" r:id="rId11"/>
    <sheet name="Slack-All rounders" sheetId="31" r:id="rId12"/>
    <sheet name="Efficiency-All rounders" sheetId="30" r:id="rId13"/>
    <sheet name="Data" sheetId="2" r:id="rId14"/>
  </sheets>
  <definedNames>
    <definedName name="_xlnm._FilterDatabase" localSheetId="0" hidden="1">Main!$A$2:$T$26</definedName>
    <definedName name="Efficiency">#REF!</definedName>
    <definedName name="EffInputs">#REF!</definedName>
    <definedName name="EffOutputs">#REF!</definedName>
    <definedName name="InputsUsed">#REF!</definedName>
    <definedName name="Lambdas">#REF!</definedName>
    <definedName name="OutputsProduced">#REF!</definedName>
    <definedName name="solver_eng" localSheetId="13" hidden="1">1</definedName>
    <definedName name="solver_neg" localSheetId="13" hidden="1">1</definedName>
    <definedName name="solver_num" localSheetId="13" hidden="1">0</definedName>
    <definedName name="solver_typ" localSheetId="13" hidden="1">1</definedName>
    <definedName name="solver_val" localSheetId="13" hidden="1">0</definedName>
    <definedName name="solver_ver" localSheetId="13" hidden="1">3</definedName>
    <definedName name="SumLambdas">#REF!</definedName>
    <definedName name="WeightedInputs">#REF!</definedName>
    <definedName name="WeightedOutpu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35" l="1"/>
  <c r="L15" i="35" s="1"/>
  <c r="K11" i="35"/>
  <c r="K15" i="35" s="1"/>
  <c r="J11" i="35"/>
  <c r="J15" i="35" s="1"/>
  <c r="I11" i="35"/>
  <c r="I16" i="35" s="1"/>
  <c r="H11" i="35"/>
  <c r="H16" i="35" s="1"/>
  <c r="G11" i="35"/>
  <c r="G16" i="35" s="1"/>
  <c r="F11" i="35"/>
  <c r="F15" i="35" s="1"/>
  <c r="E11" i="35"/>
  <c r="E13" i="35" s="1"/>
  <c r="D11" i="35"/>
  <c r="D16" i="35" s="1"/>
  <c r="L9" i="35"/>
  <c r="K9" i="35"/>
  <c r="J9" i="35"/>
  <c r="I9" i="35"/>
  <c r="H9" i="35"/>
  <c r="G9" i="35"/>
  <c r="F9" i="35"/>
  <c r="E9" i="35"/>
  <c r="D9" i="35"/>
  <c r="H15" i="34"/>
  <c r="G15" i="34"/>
  <c r="H13" i="34"/>
  <c r="G13" i="34"/>
  <c r="F13" i="34"/>
  <c r="O11" i="34"/>
  <c r="O16" i="34" s="1"/>
  <c r="N11" i="34"/>
  <c r="N16" i="34" s="1"/>
  <c r="M11" i="34"/>
  <c r="L11" i="34"/>
  <c r="L14" i="34" s="1"/>
  <c r="K11" i="34"/>
  <c r="K14" i="34" s="1"/>
  <c r="J11" i="34"/>
  <c r="J14" i="34" s="1"/>
  <c r="I11" i="34"/>
  <c r="I16" i="34" s="1"/>
  <c r="H11" i="34"/>
  <c r="H16" i="34" s="1"/>
  <c r="G11" i="34"/>
  <c r="G16" i="34" s="1"/>
  <c r="F11" i="34"/>
  <c r="F16" i="34" s="1"/>
  <c r="E11" i="34"/>
  <c r="E16" i="34" s="1"/>
  <c r="D11" i="34"/>
  <c r="D16" i="34" s="1"/>
  <c r="O9" i="34"/>
  <c r="N9" i="34"/>
  <c r="M9" i="34"/>
  <c r="L9" i="34"/>
  <c r="K9" i="34"/>
  <c r="J9" i="34"/>
  <c r="I9" i="34"/>
  <c r="H9" i="34"/>
  <c r="G9" i="34"/>
  <c r="F9" i="34"/>
  <c r="E9" i="34"/>
  <c r="D9" i="34"/>
  <c r="K11" i="33"/>
  <c r="K14" i="33" s="1"/>
  <c r="J11" i="33"/>
  <c r="J14" i="33" s="1"/>
  <c r="I11" i="33"/>
  <c r="I14" i="33" s="1"/>
  <c r="H11" i="33"/>
  <c r="H16" i="33" s="1"/>
  <c r="G11" i="33"/>
  <c r="G15" i="33" s="1"/>
  <c r="F11" i="33"/>
  <c r="F14" i="33" s="1"/>
  <c r="E11" i="33"/>
  <c r="E14" i="33" s="1"/>
  <c r="D11" i="33"/>
  <c r="D14" i="33" s="1"/>
  <c r="K9" i="33"/>
  <c r="J9" i="33"/>
  <c r="I9" i="33"/>
  <c r="H9" i="33"/>
  <c r="G9" i="33"/>
  <c r="F9" i="33"/>
  <c r="E9" i="33"/>
  <c r="D9" i="33"/>
  <c r="L30" i="1"/>
  <c r="L29" i="1"/>
  <c r="H30" i="1"/>
  <c r="H29" i="1"/>
  <c r="E30" i="1"/>
  <c r="E29" i="1"/>
  <c r="G21" i="34" l="1"/>
  <c r="O21" i="34"/>
  <c r="F18" i="34"/>
  <c r="F23" i="34" s="1"/>
  <c r="G18" i="34"/>
  <c r="J19" i="34"/>
  <c r="H18" i="34"/>
  <c r="K19" i="34"/>
  <c r="G20" i="34"/>
  <c r="P9" i="34"/>
  <c r="D21" i="34"/>
  <c r="L19" i="34"/>
  <c r="H20" i="34"/>
  <c r="E21" i="34"/>
  <c r="F21" i="34"/>
  <c r="N21" i="34"/>
  <c r="G21" i="35"/>
  <c r="F20" i="35"/>
  <c r="L20" i="35"/>
  <c r="G13" i="35"/>
  <c r="G18" i="35" s="1"/>
  <c r="M9" i="35"/>
  <c r="H21" i="35"/>
  <c r="I13" i="35"/>
  <c r="I18" i="35" s="1"/>
  <c r="F14" i="35"/>
  <c r="F19" i="35" s="1"/>
  <c r="J20" i="35"/>
  <c r="G15" i="35"/>
  <c r="G20" i="35" s="1"/>
  <c r="I21" i="35"/>
  <c r="D21" i="35"/>
  <c r="E18" i="35"/>
  <c r="K20" i="35"/>
  <c r="I15" i="35"/>
  <c r="I20" i="35" s="1"/>
  <c r="J14" i="35"/>
  <c r="J19" i="35" s="1"/>
  <c r="J16" i="35"/>
  <c r="J21" i="35" s="1"/>
  <c r="E14" i="35"/>
  <c r="E19" i="35" s="1"/>
  <c r="E16" i="35"/>
  <c r="E21" i="35" s="1"/>
  <c r="H13" i="35"/>
  <c r="H18" i="35" s="1"/>
  <c r="K14" i="35"/>
  <c r="K19" i="35" s="1"/>
  <c r="H15" i="35"/>
  <c r="H20" i="35" s="1"/>
  <c r="K16" i="35"/>
  <c r="K21" i="35" s="1"/>
  <c r="D14" i="35"/>
  <c r="D19" i="35" s="1"/>
  <c r="L14" i="35"/>
  <c r="L19" i="35" s="1"/>
  <c r="F16" i="35"/>
  <c r="F21" i="35" s="1"/>
  <c r="L16" i="35"/>
  <c r="L21" i="35" s="1"/>
  <c r="D13" i="35"/>
  <c r="D18" i="35" s="1"/>
  <c r="J13" i="35"/>
  <c r="J18" i="35" s="1"/>
  <c r="G14" i="35"/>
  <c r="G19" i="35" s="1"/>
  <c r="D15" i="35"/>
  <c r="D20" i="35" s="1"/>
  <c r="E15" i="35"/>
  <c r="E20" i="35" s="1"/>
  <c r="K13" i="35"/>
  <c r="K18" i="35" s="1"/>
  <c r="H14" i="35"/>
  <c r="H19" i="35" s="1"/>
  <c r="F13" i="35"/>
  <c r="F18" i="35" s="1"/>
  <c r="L13" i="35"/>
  <c r="L18" i="35" s="1"/>
  <c r="I14" i="35"/>
  <c r="I19" i="35" s="1"/>
  <c r="K16" i="33"/>
  <c r="K21" i="33" s="1"/>
  <c r="F16" i="33"/>
  <c r="F21" i="33" s="1"/>
  <c r="H21" i="33"/>
  <c r="G16" i="33"/>
  <c r="G21" i="33" s="1"/>
  <c r="J16" i="33"/>
  <c r="J21" i="33" s="1"/>
  <c r="E16" i="33"/>
  <c r="E21" i="33" s="1"/>
  <c r="I16" i="33"/>
  <c r="I21" i="33" s="1"/>
  <c r="D16" i="33"/>
  <c r="D21" i="33" s="1"/>
  <c r="E19" i="33"/>
  <c r="J19" i="33"/>
  <c r="N13" i="34"/>
  <c r="N18" i="34" s="1"/>
  <c r="O13" i="34"/>
  <c r="O18" i="34" s="1"/>
  <c r="N15" i="34"/>
  <c r="N20" i="34" s="1"/>
  <c r="O15" i="34"/>
  <c r="O20" i="34" s="1"/>
  <c r="L16" i="34"/>
  <c r="L21" i="34" s="1"/>
  <c r="I15" i="34"/>
  <c r="I20" i="34" s="1"/>
  <c r="K16" i="34"/>
  <c r="K21" i="34" s="1"/>
  <c r="I13" i="34"/>
  <c r="I18" i="34" s="1"/>
  <c r="F15" i="34"/>
  <c r="F20" i="34" s="1"/>
  <c r="D14" i="34"/>
  <c r="D19" i="34" s="1"/>
  <c r="M15" i="34"/>
  <c r="M20" i="34" s="1"/>
  <c r="M13" i="34"/>
  <c r="M18" i="34" s="1"/>
  <c r="M16" i="34"/>
  <c r="M21" i="34" s="1"/>
  <c r="E14" i="34"/>
  <c r="E19" i="34" s="1"/>
  <c r="H21" i="34"/>
  <c r="I21" i="34"/>
  <c r="J15" i="34"/>
  <c r="J20" i="34" s="1"/>
  <c r="J13" i="34"/>
  <c r="J18" i="34" s="1"/>
  <c r="M14" i="34"/>
  <c r="M19" i="34" s="1"/>
  <c r="E15" i="34"/>
  <c r="E20" i="34" s="1"/>
  <c r="E13" i="34"/>
  <c r="E18" i="34" s="1"/>
  <c r="K15" i="34"/>
  <c r="K20" i="34" s="1"/>
  <c r="K13" i="34"/>
  <c r="K18" i="34" s="1"/>
  <c r="D15" i="34"/>
  <c r="D20" i="34" s="1"/>
  <c r="D13" i="34"/>
  <c r="D18" i="34" s="1"/>
  <c r="L15" i="34"/>
  <c r="L20" i="34" s="1"/>
  <c r="L13" i="34"/>
  <c r="L18" i="34" s="1"/>
  <c r="J16" i="34"/>
  <c r="J21" i="34" s="1"/>
  <c r="F14" i="34"/>
  <c r="F19" i="34" s="1"/>
  <c r="N14" i="34"/>
  <c r="N19" i="34" s="1"/>
  <c r="G14" i="34"/>
  <c r="G19" i="34" s="1"/>
  <c r="O14" i="34"/>
  <c r="O19" i="34" s="1"/>
  <c r="H14" i="34"/>
  <c r="H19" i="34" s="1"/>
  <c r="I14" i="34"/>
  <c r="I19" i="34" s="1"/>
  <c r="D19" i="33"/>
  <c r="I19" i="33"/>
  <c r="F19" i="33"/>
  <c r="K19" i="33"/>
  <c r="G20" i="33"/>
  <c r="G13" i="33"/>
  <c r="G18" i="33" s="1"/>
  <c r="K15" i="33"/>
  <c r="K20" i="33" s="1"/>
  <c r="K13" i="33"/>
  <c r="K18" i="33" s="1"/>
  <c r="F15" i="33"/>
  <c r="F20" i="33" s="1"/>
  <c r="F13" i="33"/>
  <c r="F18" i="33" s="1"/>
  <c r="J15" i="33"/>
  <c r="J20" i="33" s="1"/>
  <c r="E15" i="33"/>
  <c r="E20" i="33" s="1"/>
  <c r="H14" i="33"/>
  <c r="H19" i="33" s="1"/>
  <c r="J13" i="33"/>
  <c r="J18" i="33" s="1"/>
  <c r="E13" i="33"/>
  <c r="E18" i="33" s="1"/>
  <c r="I15" i="33"/>
  <c r="I20" i="33" s="1"/>
  <c r="D15" i="33"/>
  <c r="D20" i="33" s="1"/>
  <c r="G14" i="33"/>
  <c r="G19" i="33" s="1"/>
  <c r="I13" i="33"/>
  <c r="I18" i="33" s="1"/>
  <c r="H15" i="33"/>
  <c r="H20" i="33" s="1"/>
  <c r="H13" i="33"/>
  <c r="H18" i="33" s="1"/>
  <c r="L9" i="33"/>
  <c r="D13" i="33"/>
  <c r="D18" i="33" s="1"/>
  <c r="F12" i="1"/>
  <c r="K4" i="1"/>
  <c r="F4" i="1"/>
  <c r="G4" i="1"/>
  <c r="F22" i="1"/>
  <c r="F21" i="1"/>
  <c r="F13" i="1"/>
  <c r="F6" i="1"/>
  <c r="F5" i="1"/>
  <c r="F18" i="1"/>
  <c r="G3" i="1"/>
  <c r="F14" i="1"/>
  <c r="G18" i="1"/>
  <c r="G12" i="1"/>
  <c r="F3" i="1"/>
  <c r="F11" i="1"/>
  <c r="G15" i="1"/>
  <c r="F26" i="1"/>
  <c r="F7" i="1"/>
  <c r="K12" i="1"/>
  <c r="G26" i="1"/>
  <c r="G11" i="1"/>
  <c r="K26" i="1"/>
  <c r="K11" i="1"/>
  <c r="K18" i="1"/>
  <c r="K15" i="1"/>
  <c r="F20" i="1"/>
  <c r="F10" i="1"/>
  <c r="G22" i="1"/>
  <c r="G8" i="1"/>
  <c r="K22" i="1"/>
  <c r="K8" i="1"/>
  <c r="K3" i="1"/>
  <c r="F19" i="1"/>
  <c r="F8" i="1"/>
  <c r="G21" i="1"/>
  <c r="G7" i="1"/>
  <c r="K21" i="1"/>
  <c r="K7" i="1"/>
  <c r="K6" i="1"/>
  <c r="G20" i="1"/>
  <c r="G6" i="1"/>
  <c r="K20" i="1"/>
  <c r="F15" i="1"/>
  <c r="G19" i="1"/>
  <c r="K19" i="1"/>
  <c r="L25" i="35" l="1"/>
  <c r="J29" i="34"/>
  <c r="N28" i="34"/>
  <c r="O25" i="34"/>
  <c r="O30" i="34"/>
  <c r="O28" i="34"/>
  <c r="G28" i="34"/>
  <c r="K29" i="34"/>
  <c r="F28" i="34"/>
  <c r="L26" i="34"/>
  <c r="I23" i="35"/>
  <c r="F25" i="35"/>
  <c r="G23" i="35"/>
  <c r="F29" i="35"/>
  <c r="G28" i="35"/>
  <c r="F30" i="35"/>
  <c r="F24" i="35"/>
  <c r="L30" i="35"/>
  <c r="E28" i="35"/>
  <c r="I31" i="35"/>
  <c r="G31" i="35"/>
  <c r="J28" i="35"/>
  <c r="J23" i="35"/>
  <c r="D23" i="35"/>
  <c r="D28" i="35"/>
  <c r="J29" i="35"/>
  <c r="J24" i="35"/>
  <c r="L26" i="35"/>
  <c r="L31" i="35"/>
  <c r="I30" i="35"/>
  <c r="G25" i="35"/>
  <c r="I26" i="35"/>
  <c r="K23" i="35"/>
  <c r="K28" i="35"/>
  <c r="K29" i="35"/>
  <c r="K24" i="35"/>
  <c r="F26" i="35"/>
  <c r="F31" i="35"/>
  <c r="H28" i="35"/>
  <c r="H23" i="35"/>
  <c r="I25" i="35"/>
  <c r="G30" i="35"/>
  <c r="H30" i="35"/>
  <c r="H25" i="35"/>
  <c r="J31" i="35"/>
  <c r="J26" i="35"/>
  <c r="L24" i="35"/>
  <c r="L29" i="35"/>
  <c r="I29" i="35"/>
  <c r="I24" i="35"/>
  <c r="D29" i="35"/>
  <c r="D24" i="35"/>
  <c r="E31" i="35"/>
  <c r="E26" i="35"/>
  <c r="K30" i="35"/>
  <c r="J25" i="35"/>
  <c r="I28" i="35"/>
  <c r="L23" i="35"/>
  <c r="L28" i="35"/>
  <c r="D25" i="35"/>
  <c r="D30" i="35"/>
  <c r="K26" i="35"/>
  <c r="K31" i="35"/>
  <c r="D26" i="35"/>
  <c r="H26" i="35"/>
  <c r="H24" i="35"/>
  <c r="H29" i="35"/>
  <c r="E25" i="35"/>
  <c r="E30" i="35"/>
  <c r="K25" i="35"/>
  <c r="J30" i="35"/>
  <c r="F23" i="35"/>
  <c r="F28" i="35"/>
  <c r="G24" i="35"/>
  <c r="G29" i="35"/>
  <c r="E29" i="35"/>
  <c r="E24" i="35"/>
  <c r="E23" i="35"/>
  <c r="D31" i="35"/>
  <c r="H31" i="35"/>
  <c r="G26" i="35"/>
  <c r="F26" i="33"/>
  <c r="E26" i="33"/>
  <c r="J26" i="33"/>
  <c r="G26" i="33"/>
  <c r="H31" i="33"/>
  <c r="H26" i="33"/>
  <c r="D31" i="33"/>
  <c r="D26" i="33"/>
  <c r="I31" i="33"/>
  <c r="I26" i="33"/>
  <c r="K31" i="33"/>
  <c r="K26" i="33"/>
  <c r="G31" i="33"/>
  <c r="F31" i="33"/>
  <c r="E31" i="33"/>
  <c r="J31" i="33"/>
  <c r="F23" i="33"/>
  <c r="E29" i="33"/>
  <c r="D24" i="33"/>
  <c r="I30" i="33"/>
  <c r="N23" i="34"/>
  <c r="N31" i="34"/>
  <c r="G26" i="34"/>
  <c r="E31" i="34"/>
  <c r="I29" i="34"/>
  <c r="I24" i="34"/>
  <c r="G23" i="34"/>
  <c r="H24" i="34"/>
  <c r="H29" i="34"/>
  <c r="D23" i="34"/>
  <c r="D28" i="34"/>
  <c r="M24" i="34"/>
  <c r="M29" i="34"/>
  <c r="M26" i="34"/>
  <c r="M31" i="34"/>
  <c r="F25" i="34"/>
  <c r="O26" i="34"/>
  <c r="L30" i="34"/>
  <c r="L25" i="34"/>
  <c r="O24" i="34"/>
  <c r="O29" i="34"/>
  <c r="D30" i="34"/>
  <c r="D25" i="34"/>
  <c r="J23" i="34"/>
  <c r="J28" i="34"/>
  <c r="O31" i="34"/>
  <c r="F30" i="34"/>
  <c r="K31" i="34"/>
  <c r="O23" i="34"/>
  <c r="L24" i="34"/>
  <c r="I23" i="34"/>
  <c r="G24" i="34"/>
  <c r="G29" i="34"/>
  <c r="K26" i="34"/>
  <c r="L29" i="34"/>
  <c r="I28" i="34"/>
  <c r="N24" i="34"/>
  <c r="N29" i="34"/>
  <c r="K25" i="34"/>
  <c r="K30" i="34"/>
  <c r="G31" i="34"/>
  <c r="N26" i="34"/>
  <c r="D24" i="34"/>
  <c r="D31" i="34"/>
  <c r="K24" i="34"/>
  <c r="E24" i="34"/>
  <c r="E29" i="34"/>
  <c r="J25" i="34"/>
  <c r="J30" i="34"/>
  <c r="F24" i="34"/>
  <c r="F29" i="34"/>
  <c r="E23" i="34"/>
  <c r="E28" i="34"/>
  <c r="I31" i="34"/>
  <c r="I26" i="34"/>
  <c r="F31" i="34"/>
  <c r="L31" i="34"/>
  <c r="D29" i="34"/>
  <c r="E26" i="34"/>
  <c r="D26" i="34"/>
  <c r="M30" i="34"/>
  <c r="M25" i="34"/>
  <c r="K23" i="34"/>
  <c r="K28" i="34"/>
  <c r="J31" i="34"/>
  <c r="J26" i="34"/>
  <c r="E30" i="34"/>
  <c r="E25" i="34"/>
  <c r="I25" i="34"/>
  <c r="F26" i="34"/>
  <c r="G25" i="34"/>
  <c r="N25" i="34"/>
  <c r="H23" i="34"/>
  <c r="H30" i="34"/>
  <c r="L23" i="34"/>
  <c r="L28" i="34"/>
  <c r="I30" i="34"/>
  <c r="H31" i="34"/>
  <c r="H26" i="34"/>
  <c r="M23" i="34"/>
  <c r="M28" i="34"/>
  <c r="J24" i="34"/>
  <c r="G30" i="34"/>
  <c r="N30" i="34"/>
  <c r="H28" i="34"/>
  <c r="H25" i="34"/>
  <c r="G24" i="33"/>
  <c r="G29" i="33"/>
  <c r="E25" i="33"/>
  <c r="E30" i="33"/>
  <c r="D30" i="33"/>
  <c r="J30" i="33"/>
  <c r="F29" i="33"/>
  <c r="K30" i="33"/>
  <c r="D29" i="33"/>
  <c r="I29" i="33"/>
  <c r="J24" i="33"/>
  <c r="F30" i="33"/>
  <c r="G30" i="33"/>
  <c r="J29" i="33"/>
  <c r="H25" i="33"/>
  <c r="H30" i="33"/>
  <c r="I24" i="33"/>
  <c r="H24" i="33"/>
  <c r="H29" i="33"/>
  <c r="K29" i="33"/>
  <c r="D25" i="33"/>
  <c r="J25" i="33"/>
  <c r="I25" i="33"/>
  <c r="E24" i="33"/>
  <c r="F24" i="33"/>
  <c r="K25" i="33"/>
  <c r="F25" i="33"/>
  <c r="G25" i="33"/>
  <c r="K24" i="33"/>
  <c r="E23" i="33"/>
  <c r="J28" i="33"/>
  <c r="J23" i="33"/>
  <c r="F28" i="33"/>
  <c r="E28" i="33"/>
  <c r="D23" i="33"/>
  <c r="D28" i="33"/>
  <c r="K28" i="33"/>
  <c r="K23" i="33"/>
  <c r="G23" i="33"/>
  <c r="G28" i="33"/>
  <c r="H23" i="33"/>
  <c r="H28" i="33"/>
  <c r="I23" i="33"/>
  <c r="I28" i="33"/>
  <c r="M31" i="35" l="1"/>
  <c r="M30" i="35"/>
  <c r="M25" i="35"/>
  <c r="M26" i="35"/>
  <c r="M23" i="35"/>
  <c r="M24" i="35"/>
  <c r="M28" i="35"/>
  <c r="M29" i="35"/>
  <c r="L26" i="33"/>
  <c r="L31" i="33"/>
  <c r="P31" i="34"/>
  <c r="P26" i="34"/>
  <c r="P24" i="34"/>
  <c r="P28" i="34"/>
  <c r="P29" i="34"/>
  <c r="P23" i="34"/>
  <c r="P25" i="34"/>
  <c r="P30" i="34"/>
  <c r="L24" i="33"/>
  <c r="L30" i="33"/>
  <c r="L29" i="33"/>
  <c r="L25" i="33"/>
  <c r="L28" i="33"/>
  <c r="L23" i="33"/>
  <c r="P34" i="34" l="1"/>
  <c r="M36" i="35"/>
  <c r="M37" i="35"/>
  <c r="M35" i="35"/>
  <c r="M34" i="35"/>
  <c r="L37" i="33"/>
  <c r="L36" i="33"/>
  <c r="L35" i="33"/>
  <c r="P37" i="34"/>
  <c r="P35" i="34"/>
  <c r="P36" i="34"/>
  <c r="L34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</author>
  </authors>
  <commentList>
    <comment ref="H11" authorId="0" shapeId="0" xr:uid="{694ACEC8-5172-4D56-8BA0-C700C12E5BE6}">
      <text>
        <r>
          <rPr>
            <sz val="9"/>
            <color indexed="81"/>
            <rFont val="Tahoma"/>
            <family val="2"/>
          </rPr>
          <t>DMU 1</t>
        </r>
      </text>
    </comment>
    <comment ref="H12" authorId="0" shapeId="0" xr:uid="{013AE0DC-7BDD-4F02-A5D9-6733C8BF48AB}">
      <text>
        <r>
          <rPr>
            <sz val="9"/>
            <color indexed="81"/>
            <rFont val="Tahoma"/>
            <family val="2"/>
          </rPr>
          <t>DMU 2</t>
        </r>
      </text>
    </comment>
    <comment ref="H13" authorId="0" shapeId="0" xr:uid="{7CFFE893-28A9-48C1-8D33-13524C994707}">
      <text>
        <r>
          <rPr>
            <sz val="9"/>
            <color indexed="81"/>
            <rFont val="Tahoma"/>
            <family val="2"/>
          </rPr>
          <t>DMU 2</t>
        </r>
      </text>
    </comment>
    <comment ref="K13" authorId="0" shapeId="0" xr:uid="{86D81021-B2AD-40AD-87A5-EEC8003463B2}">
      <text>
        <r>
          <rPr>
            <sz val="9"/>
            <color indexed="81"/>
            <rFont val="Tahoma"/>
            <family val="2"/>
          </rPr>
          <t>DMU 4</t>
        </r>
      </text>
    </comment>
    <comment ref="N13" authorId="0" shapeId="0" xr:uid="{7ECF8F35-353D-4003-8614-193DAB1C29F4}">
      <text>
        <r>
          <rPr>
            <sz val="9"/>
            <color indexed="81"/>
            <rFont val="Tahoma"/>
            <family val="2"/>
          </rPr>
          <t>DMU 6</t>
        </r>
      </text>
    </comment>
    <comment ref="H14" authorId="0" shapeId="0" xr:uid="{FC65DC9F-627A-4826-862A-F04683F3126A}">
      <text>
        <r>
          <rPr>
            <sz val="9"/>
            <color indexed="81"/>
            <rFont val="Tahoma"/>
            <family val="2"/>
          </rPr>
          <t>DMU 4</t>
        </r>
      </text>
    </comment>
    <comment ref="H15" authorId="0" shapeId="0" xr:uid="{235B0360-24AF-4C96-93FB-D601AA7AB091}">
      <text>
        <r>
          <rPr>
            <sz val="9"/>
            <color indexed="81"/>
            <rFont val="Tahoma"/>
            <family val="2"/>
          </rPr>
          <t>DMU 1</t>
        </r>
      </text>
    </comment>
    <comment ref="K15" authorId="0" shapeId="0" xr:uid="{E303BFA8-5BF6-4D20-BAF5-9A434DC58A29}">
      <text>
        <r>
          <rPr>
            <sz val="9"/>
            <color indexed="81"/>
            <rFont val="Tahoma"/>
            <family val="2"/>
          </rPr>
          <t>DMU 6</t>
        </r>
      </text>
    </comment>
    <comment ref="H16" authorId="0" shapeId="0" xr:uid="{53423B66-ED00-4438-981D-7762B60F74C6}">
      <text>
        <r>
          <rPr>
            <sz val="9"/>
            <color indexed="81"/>
            <rFont val="Tahoma"/>
            <family val="2"/>
          </rPr>
          <t>DMU 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</author>
  </authors>
  <commentList>
    <comment ref="H11" authorId="0" shapeId="0" xr:uid="{DB411D3A-6762-4310-9D6E-96CA29A3470D}">
      <text>
        <r>
          <rPr>
            <sz val="9"/>
            <color indexed="81"/>
            <rFont val="Tahoma"/>
            <family val="2"/>
          </rPr>
          <t>DMU 1</t>
        </r>
      </text>
    </comment>
    <comment ref="H12" authorId="0" shapeId="0" xr:uid="{40D44274-D218-4961-A245-14868D117EED}">
      <text>
        <r>
          <rPr>
            <sz val="9"/>
            <color indexed="81"/>
            <rFont val="Tahoma"/>
            <family val="2"/>
          </rPr>
          <t>DMU 2</t>
        </r>
      </text>
    </comment>
    <comment ref="H13" authorId="0" shapeId="0" xr:uid="{214D6709-03F8-493A-81B2-2CE91B9EF454}">
      <text>
        <r>
          <rPr>
            <sz val="9"/>
            <color indexed="81"/>
            <rFont val="Tahoma"/>
            <family val="2"/>
          </rPr>
          <t>DMU 3</t>
        </r>
      </text>
    </comment>
    <comment ref="H14" authorId="0" shapeId="0" xr:uid="{03D720B6-D17D-4666-8812-7914364E8DE3}">
      <text>
        <r>
          <rPr>
            <sz val="9"/>
            <color indexed="81"/>
            <rFont val="Tahoma"/>
            <family val="2"/>
          </rPr>
          <t>DMU 4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</author>
  </authors>
  <commentList>
    <comment ref="H14" authorId="0" shapeId="0" xr:uid="{D0B857B6-DA00-48F7-B347-51485470D89D}">
      <text>
        <r>
          <rPr>
            <sz val="9"/>
            <color indexed="81"/>
            <rFont val="Tahoma"/>
            <family val="2"/>
          </rPr>
          <t>DMU 1</t>
        </r>
      </text>
    </comment>
    <comment ref="H15" authorId="0" shapeId="0" xr:uid="{0FC91277-5A62-4B08-AED8-70714DF82382}">
      <text>
        <r>
          <rPr>
            <sz val="9"/>
            <color indexed="81"/>
            <rFont val="Tahoma"/>
            <family val="2"/>
          </rPr>
          <t>DMU 2</t>
        </r>
      </text>
    </comment>
    <comment ref="H16" authorId="0" shapeId="0" xr:uid="{DFFD8932-1278-4BDA-BA29-EA86A96B4374}">
      <text>
        <r>
          <rPr>
            <sz val="9"/>
            <color indexed="81"/>
            <rFont val="Tahoma"/>
            <family val="2"/>
          </rPr>
          <t>DMU 3</t>
        </r>
      </text>
    </comment>
    <comment ref="H17" authorId="0" shapeId="0" xr:uid="{4C24DB01-E33B-4187-AAD4-86F24A5F6181}">
      <text>
        <r>
          <rPr>
            <sz val="9"/>
            <color indexed="81"/>
            <rFont val="Tahoma"/>
            <family val="2"/>
          </rPr>
          <t>DMU 3</t>
        </r>
      </text>
    </comment>
    <comment ref="K17" authorId="0" shapeId="0" xr:uid="{DDA80219-403F-439B-AA8F-1E15448500DC}">
      <text>
        <r>
          <rPr>
            <sz val="9"/>
            <color indexed="81"/>
            <rFont val="Tahoma"/>
            <family val="2"/>
          </rPr>
          <t>DMU 5</t>
        </r>
      </text>
    </comment>
    <comment ref="H18" authorId="0" shapeId="0" xr:uid="{0A0AEC2D-18D5-4F28-A8BF-DDCE5570C3CC}">
      <text>
        <r>
          <rPr>
            <sz val="9"/>
            <color indexed="81"/>
            <rFont val="Tahoma"/>
            <family val="2"/>
          </rPr>
          <t>DMU 5</t>
        </r>
      </text>
    </comment>
  </commentList>
</comments>
</file>

<file path=xl/sharedStrings.xml><?xml version="1.0" encoding="utf-8"?>
<sst xmlns="http://schemas.openxmlformats.org/spreadsheetml/2006/main" count="687" uniqueCount="95">
  <si>
    <t>(cost)</t>
  </si>
  <si>
    <t>(Benefit)</t>
  </si>
  <si>
    <t>(benefit)</t>
  </si>
  <si>
    <t>Player</t>
  </si>
  <si>
    <t>Role</t>
  </si>
  <si>
    <t>Category</t>
  </si>
  <si>
    <t>Age</t>
  </si>
  <si>
    <t>Matches</t>
  </si>
  <si>
    <t>Batting Strike Rate</t>
  </si>
  <si>
    <t>Bowling Strike Rate</t>
  </si>
  <si>
    <t>Cost (INR)</t>
  </si>
  <si>
    <t>Batting Average</t>
  </si>
  <si>
    <t>Bowling Average</t>
  </si>
  <si>
    <t>Economy</t>
  </si>
  <si>
    <t>Catches</t>
  </si>
  <si>
    <t>Catches Dropped</t>
  </si>
  <si>
    <t>Runs Scored</t>
  </si>
  <si>
    <t>Wickets</t>
  </si>
  <si>
    <t>Impact Points</t>
  </si>
  <si>
    <t>Shreyas Iyer (c)</t>
  </si>
  <si>
    <t>Batter</t>
  </si>
  <si>
    <t>Indian</t>
  </si>
  <si>
    <t>N/A</t>
  </si>
  <si>
    <t>12 crore</t>
  </si>
  <si>
    <t>Andre Russell</t>
  </si>
  <si>
    <t>All-rounder</t>
  </si>
  <si>
    <t>Overseas</t>
  </si>
  <si>
    <t>Varun Chakravarthy</t>
  </si>
  <si>
    <t>Bowler</t>
  </si>
  <si>
    <t>8 crore</t>
  </si>
  <si>
    <t>Nitish Rana</t>
  </si>
  <si>
    <t>Venkatesh Iyer</t>
  </si>
  <si>
    <t>Sunil Narine</t>
  </si>
  <si>
    <t>6 crore</t>
  </si>
  <si>
    <t>Jason Roy</t>
  </si>
  <si>
    <t>Yet to play</t>
  </si>
  <si>
    <t>NA</t>
  </si>
  <si>
    <t>Vaibhav Arora</t>
  </si>
  <si>
    <t>1 crore</t>
  </si>
  <si>
    <t>Rinku Singh</t>
  </si>
  <si>
    <t>2 crore</t>
  </si>
  <si>
    <t>Rahmanullah Gurbaz</t>
  </si>
  <si>
    <t>Keeper-batter</t>
  </si>
  <si>
    <t>50 lakh</t>
  </si>
  <si>
    <t>Suyash Sharma</t>
  </si>
  <si>
    <t>20 lakh</t>
  </si>
  <si>
    <t>Harshit Rana</t>
  </si>
  <si>
    <t>Anukul Roy</t>
  </si>
  <si>
    <t>KS Bharat</t>
  </si>
  <si>
    <t>Chetan Sakariya</t>
  </si>
  <si>
    <t>Mitchell Starc</t>
  </si>
  <si>
    <t>24.75 crore</t>
  </si>
  <si>
    <t>Ramandeep Singh</t>
  </si>
  <si>
    <t>Angrish Raghuvanshi</t>
  </si>
  <si>
    <t>Sherfane Rutherford</t>
  </si>
  <si>
    <t>Manish Pandey</t>
  </si>
  <si>
    <t>Mujeeb-Ur-Rahman</t>
  </si>
  <si>
    <t>Gus Atkinson</t>
  </si>
  <si>
    <t>Sakib Hussain</t>
  </si>
  <si>
    <t>Phil Salt</t>
  </si>
  <si>
    <t>Normalized matches</t>
  </si>
  <si>
    <t>Normalized Batting strike rate</t>
  </si>
  <si>
    <t>Normalized batting average</t>
  </si>
  <si>
    <t>max</t>
  </si>
  <si>
    <t>min</t>
  </si>
  <si>
    <t>DMU</t>
  </si>
  <si>
    <t>Inputs</t>
  </si>
  <si>
    <t>DMU Name</t>
  </si>
  <si>
    <t>Outputs</t>
  </si>
  <si>
    <t>lambdas</t>
  </si>
  <si>
    <t>Efficiency</t>
  </si>
  <si>
    <t>Input-Oriented</t>
  </si>
  <si>
    <t>DMU No.</t>
  </si>
  <si>
    <t>CRS</t>
  </si>
  <si>
    <t>Optimal Lambdas</t>
  </si>
  <si>
    <t>with Benchmarks</t>
  </si>
  <si>
    <t>Sum of</t>
  </si>
  <si>
    <t>RTS</t>
  </si>
  <si>
    <t>Constant</t>
  </si>
  <si>
    <t>Increasing</t>
  </si>
  <si>
    <t>CRS Model Slacks</t>
  </si>
  <si>
    <t>Input Slacks</t>
  </si>
  <si>
    <t>Output Slacks</t>
  </si>
  <si>
    <t>Efficient Input Target</t>
  </si>
  <si>
    <t>Efficient Output Target</t>
  </si>
  <si>
    <t>CRS Model Target</t>
  </si>
  <si>
    <t>weights</t>
  </si>
  <si>
    <t>Normalized weights</t>
  </si>
  <si>
    <t>Denominator</t>
  </si>
  <si>
    <t>Normalized decision matrix</t>
  </si>
  <si>
    <t>Weighted normalized decision matrix</t>
  </si>
  <si>
    <t>Deviation from worst</t>
  </si>
  <si>
    <t>Deviation from best</t>
  </si>
  <si>
    <t>Relative closeness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</si>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</sst>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sz val="10"/>
      <color indexed="9"/>
      <name val="Calibri"/>
      <family val="2"/>
      <scheme val="minor"/>
    </font>
    <font>
      <sz val="11"/>
      <color indexed="8"/>
      <name val="Calibri"/>
      <family val="2"/>
      <scheme val="minor"/>
    </font>
    <font>
      <b/>
      <i/>
      <sz val="11"/>
      <color indexed="16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1"/>
      <color indexed="18"/>
      <name val="Calibri"/>
      <family val="2"/>
      <scheme val="minor"/>
    </font>
    <font>
      <b/>
      <i/>
      <sz val="10"/>
      <color indexed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A99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9"/>
        <bgColor indexed="24"/>
      </patternFill>
    </fill>
    <fill>
      <patternFill patternType="solid">
        <fgColor indexed="22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42"/>
        <bgColor indexed="24"/>
      </patternFill>
    </fill>
    <fill>
      <patternFill patternType="solid">
        <fgColor indexed="18"/>
        <bgColor indexed="2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1"/>
      </left>
      <right/>
      <top style="thick">
        <color indexed="21"/>
      </top>
      <bottom/>
      <diagonal/>
    </border>
    <border>
      <left/>
      <right/>
      <top style="thick">
        <color indexed="21"/>
      </top>
      <bottom/>
      <diagonal/>
    </border>
    <border>
      <left/>
      <right style="thin">
        <color indexed="21"/>
      </right>
      <top style="thick">
        <color indexed="21"/>
      </top>
      <bottom/>
      <diagonal/>
    </border>
    <border>
      <left style="thin">
        <color indexed="21"/>
      </left>
      <right/>
      <top/>
      <bottom/>
      <diagonal/>
    </border>
    <border>
      <left/>
      <right style="thin">
        <color indexed="21"/>
      </right>
      <top/>
      <bottom/>
      <diagonal/>
    </border>
    <border>
      <left style="thin">
        <color indexed="21"/>
      </left>
      <right/>
      <top/>
      <bottom style="thick">
        <color indexed="21"/>
      </bottom>
      <diagonal/>
    </border>
    <border>
      <left/>
      <right/>
      <top/>
      <bottom style="thick">
        <color indexed="21"/>
      </bottom>
      <diagonal/>
    </border>
    <border>
      <left/>
      <right style="thin">
        <color indexed="21"/>
      </right>
      <top/>
      <bottom style="thick">
        <color indexed="21"/>
      </bottom>
      <diagonal/>
    </border>
    <border>
      <left style="thin">
        <color indexed="21"/>
      </left>
      <right/>
      <top style="thick">
        <color indexed="21"/>
      </top>
      <bottom style="thin">
        <color indexed="64"/>
      </bottom>
      <diagonal/>
    </border>
    <border>
      <left/>
      <right/>
      <top style="thick">
        <color indexed="21"/>
      </top>
      <bottom style="thin">
        <color indexed="64"/>
      </bottom>
      <diagonal/>
    </border>
    <border>
      <left/>
      <right style="thin">
        <color indexed="21"/>
      </right>
      <top style="thick">
        <color indexed="21"/>
      </top>
      <bottom style="thin">
        <color indexed="64"/>
      </bottom>
      <diagonal/>
    </border>
    <border>
      <left style="thin">
        <color indexed="21"/>
      </left>
      <right/>
      <top/>
      <bottom style="thin">
        <color indexed="64"/>
      </bottom>
      <diagonal/>
    </border>
    <border>
      <left/>
      <right style="thin">
        <color indexed="21"/>
      </right>
      <top/>
      <bottom style="thin">
        <color indexed="64"/>
      </bottom>
      <diagonal/>
    </border>
    <border>
      <left/>
      <right/>
      <top/>
      <bottom style="thick">
        <color indexed="23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5" borderId="0" xfId="0" applyFill="1"/>
    <xf numFmtId="0" fontId="1" fillId="0" borderId="0" xfId="0" applyFont="1"/>
    <xf numFmtId="164" fontId="0" fillId="0" borderId="0" xfId="0" applyNumberFormat="1"/>
    <xf numFmtId="0" fontId="0" fillId="0" borderId="2" xfId="0" applyBorder="1"/>
    <xf numFmtId="164" fontId="0" fillId="0" borderId="2" xfId="0" applyNumberFormat="1" applyBorder="1"/>
    <xf numFmtId="0" fontId="4" fillId="6" borderId="1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right"/>
    </xf>
    <xf numFmtId="0" fontId="4" fillId="6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164" fontId="4" fillId="6" borderId="0" xfId="0" applyNumberFormat="1" applyFont="1" applyFill="1" applyAlignment="1">
      <alignment horizontal="center"/>
    </xf>
    <xf numFmtId="0" fontId="4" fillId="6" borderId="3" xfId="0" applyFont="1" applyFill="1" applyBorder="1" applyAlignment="1">
      <alignment horizontal="center"/>
    </xf>
    <xf numFmtId="164" fontId="4" fillId="6" borderId="3" xfId="0" applyNumberFormat="1" applyFont="1" applyFill="1" applyBorder="1" applyAlignment="1">
      <alignment horizontal="center"/>
    </xf>
    <xf numFmtId="0" fontId="6" fillId="8" borderId="12" xfId="0" applyFont="1" applyFill="1" applyBorder="1" applyAlignment="1">
      <alignment horizontal="right"/>
    </xf>
    <xf numFmtId="0" fontId="6" fillId="8" borderId="13" xfId="0" applyFont="1" applyFill="1" applyBorder="1" applyAlignment="1">
      <alignment horizontal="right"/>
    </xf>
    <xf numFmtId="0" fontId="6" fillId="8" borderId="14" xfId="0" applyFont="1" applyFill="1" applyBorder="1" applyAlignment="1">
      <alignment horizontal="right"/>
    </xf>
    <xf numFmtId="165" fontId="5" fillId="8" borderId="7" xfId="0" applyNumberFormat="1" applyFont="1" applyFill="1" applyBorder="1" applyAlignment="1">
      <alignment horizontal="right"/>
    </xf>
    <xf numFmtId="165" fontId="5" fillId="8" borderId="0" xfId="0" applyNumberFormat="1" applyFont="1" applyFill="1" applyAlignment="1">
      <alignment horizontal="right"/>
    </xf>
    <xf numFmtId="165" fontId="5" fillId="8" borderId="8" xfId="0" applyNumberFormat="1" applyFont="1" applyFill="1" applyBorder="1" applyAlignment="1">
      <alignment horizontal="right"/>
    </xf>
    <xf numFmtId="165" fontId="5" fillId="7" borderId="7" xfId="0" applyNumberFormat="1" applyFont="1" applyFill="1" applyBorder="1" applyAlignment="1">
      <alignment horizontal="right"/>
    </xf>
    <xf numFmtId="165" fontId="5" fillId="7" borderId="0" xfId="0" applyNumberFormat="1" applyFont="1" applyFill="1" applyAlignment="1">
      <alignment horizontal="right"/>
    </xf>
    <xf numFmtId="165" fontId="5" fillId="7" borderId="8" xfId="0" applyNumberFormat="1" applyFont="1" applyFill="1" applyBorder="1" applyAlignment="1">
      <alignment horizontal="right"/>
    </xf>
    <xf numFmtId="165" fontId="5" fillId="7" borderId="9" xfId="0" applyNumberFormat="1" applyFont="1" applyFill="1" applyBorder="1" applyAlignment="1">
      <alignment horizontal="right"/>
    </xf>
    <xf numFmtId="165" fontId="5" fillId="7" borderId="10" xfId="0" applyNumberFormat="1" applyFont="1" applyFill="1" applyBorder="1" applyAlignment="1">
      <alignment horizontal="right"/>
    </xf>
    <xf numFmtId="165" fontId="5" fillId="7" borderId="11" xfId="0" applyNumberFormat="1" applyFont="1" applyFill="1" applyBorder="1" applyAlignment="1">
      <alignment horizontal="right"/>
    </xf>
    <xf numFmtId="0" fontId="6" fillId="8" borderId="4" xfId="0" applyFont="1" applyFill="1" applyBorder="1" applyAlignment="1">
      <alignment horizontal="center"/>
    </xf>
    <xf numFmtId="0" fontId="6" fillId="8" borderId="15" xfId="0" applyFont="1" applyFill="1" applyBorder="1" applyAlignment="1">
      <alignment horizontal="center"/>
    </xf>
    <xf numFmtId="0" fontId="6" fillId="8" borderId="5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164" fontId="5" fillId="8" borderId="7" xfId="0" applyNumberFormat="1" applyFont="1" applyFill="1" applyBorder="1" applyAlignment="1">
      <alignment horizontal="center"/>
    </xf>
    <xf numFmtId="164" fontId="5" fillId="8" borderId="0" xfId="0" applyNumberFormat="1" applyFont="1" applyFill="1" applyAlignment="1">
      <alignment horizontal="center"/>
    </xf>
    <xf numFmtId="164" fontId="5" fillId="8" borderId="8" xfId="0" applyNumberFormat="1" applyFont="1" applyFill="1" applyBorder="1" applyAlignment="1">
      <alignment horizontal="center"/>
    </xf>
    <xf numFmtId="164" fontId="5" fillId="7" borderId="7" xfId="0" applyNumberFormat="1" applyFont="1" applyFill="1" applyBorder="1" applyAlignment="1">
      <alignment horizontal="center"/>
    </xf>
    <xf numFmtId="164" fontId="5" fillId="7" borderId="0" xfId="0" applyNumberFormat="1" applyFont="1" applyFill="1" applyAlignment="1">
      <alignment horizontal="center"/>
    </xf>
    <xf numFmtId="164" fontId="5" fillId="7" borderId="8" xfId="0" applyNumberFormat="1" applyFont="1" applyFill="1" applyBorder="1" applyAlignment="1">
      <alignment horizontal="center"/>
    </xf>
    <xf numFmtId="164" fontId="5" fillId="7" borderId="9" xfId="0" applyNumberFormat="1" applyFont="1" applyFill="1" applyBorder="1" applyAlignment="1">
      <alignment horizontal="center"/>
    </xf>
    <xf numFmtId="164" fontId="5" fillId="7" borderId="10" xfId="0" applyNumberFormat="1" applyFont="1" applyFill="1" applyBorder="1" applyAlignment="1">
      <alignment horizontal="center"/>
    </xf>
    <xf numFmtId="164" fontId="5" fillId="7" borderId="11" xfId="0" applyNumberFormat="1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164" fontId="5" fillId="10" borderId="0" xfId="0" applyNumberFormat="1" applyFont="1" applyFill="1" applyAlignment="1">
      <alignment horizontal="center"/>
    </xf>
    <xf numFmtId="164" fontId="5" fillId="10" borderId="17" xfId="0" applyNumberFormat="1" applyFont="1" applyFill="1" applyBorder="1" applyAlignment="1">
      <alignment horizontal="center"/>
    </xf>
    <xf numFmtId="0" fontId="8" fillId="8" borderId="20" xfId="0" applyFont="1" applyFill="1" applyBorder="1"/>
    <xf numFmtId="0" fontId="8" fillId="8" borderId="22" xfId="0" applyFont="1" applyFill="1" applyBorder="1"/>
    <xf numFmtId="0" fontId="9" fillId="11" borderId="18" xfId="0" applyFont="1" applyFill="1" applyBorder="1" applyAlignment="1">
      <alignment horizontal="right"/>
    </xf>
    <xf numFmtId="0" fontId="9" fillId="11" borderId="24" xfId="0" applyFont="1" applyFill="1" applyBorder="1" applyAlignment="1">
      <alignment horizontal="right"/>
    </xf>
    <xf numFmtId="0" fontId="9" fillId="11" borderId="19" xfId="0" applyFont="1" applyFill="1" applyBorder="1" applyAlignment="1">
      <alignment horizontal="left"/>
    </xf>
    <xf numFmtId="0" fontId="6" fillId="8" borderId="4" xfId="0" applyFont="1" applyFill="1" applyBorder="1" applyAlignment="1">
      <alignment horizontal="left"/>
    </xf>
    <xf numFmtId="0" fontId="6" fillId="8" borderId="5" xfId="0" applyFont="1" applyFill="1" applyBorder="1" applyAlignment="1">
      <alignment horizontal="left"/>
    </xf>
    <xf numFmtId="0" fontId="6" fillId="8" borderId="6" xfId="0" applyFont="1" applyFill="1" applyBorder="1" applyAlignment="1">
      <alignment horizontal="left"/>
    </xf>
    <xf numFmtId="0" fontId="9" fillId="11" borderId="25" xfId="0" applyFont="1" applyFill="1" applyBorder="1" applyAlignment="1">
      <alignment horizontal="left"/>
    </xf>
    <xf numFmtId="0" fontId="6" fillId="8" borderId="15" xfId="0" applyFont="1" applyFill="1" applyBorder="1" applyAlignment="1">
      <alignment horizontal="left"/>
    </xf>
    <xf numFmtId="0" fontId="6" fillId="8" borderId="3" xfId="0" applyFont="1" applyFill="1" applyBorder="1" applyAlignment="1">
      <alignment horizontal="left"/>
    </xf>
    <xf numFmtId="0" fontId="6" fillId="8" borderId="16" xfId="0" applyFont="1" applyFill="1" applyBorder="1" applyAlignment="1">
      <alignment horizontal="left"/>
    </xf>
    <xf numFmtId="0" fontId="8" fillId="8" borderId="21" xfId="0" applyFont="1" applyFill="1" applyBorder="1" applyAlignment="1">
      <alignment horizontal="left"/>
    </xf>
    <xf numFmtId="164" fontId="5" fillId="8" borderId="7" xfId="0" applyNumberFormat="1" applyFont="1" applyFill="1" applyBorder="1" applyAlignment="1">
      <alignment horizontal="left"/>
    </xf>
    <xf numFmtId="164" fontId="5" fillId="8" borderId="0" xfId="0" applyNumberFormat="1" applyFont="1" applyFill="1" applyAlignment="1">
      <alignment horizontal="left"/>
    </xf>
    <xf numFmtId="164" fontId="5" fillId="8" borderId="8" xfId="0" applyNumberFormat="1" applyFont="1" applyFill="1" applyBorder="1" applyAlignment="1">
      <alignment horizontal="left"/>
    </xf>
    <xf numFmtId="164" fontId="5" fillId="7" borderId="7" xfId="0" applyNumberFormat="1" applyFont="1" applyFill="1" applyBorder="1" applyAlignment="1">
      <alignment horizontal="left"/>
    </xf>
    <xf numFmtId="164" fontId="5" fillId="7" borderId="0" xfId="0" applyNumberFormat="1" applyFont="1" applyFill="1" applyAlignment="1">
      <alignment horizontal="left"/>
    </xf>
    <xf numFmtId="164" fontId="5" fillId="7" borderId="8" xfId="0" applyNumberFormat="1" applyFont="1" applyFill="1" applyBorder="1" applyAlignment="1">
      <alignment horizontal="left"/>
    </xf>
    <xf numFmtId="0" fontId="8" fillId="8" borderId="23" xfId="0" applyFont="1" applyFill="1" applyBorder="1" applyAlignment="1">
      <alignment horizontal="left"/>
    </xf>
    <xf numFmtId="164" fontId="5" fillId="7" borderId="9" xfId="0" applyNumberFormat="1" applyFont="1" applyFill="1" applyBorder="1" applyAlignment="1">
      <alignment horizontal="left"/>
    </xf>
    <xf numFmtId="164" fontId="5" fillId="7" borderId="10" xfId="0" applyNumberFormat="1" applyFont="1" applyFill="1" applyBorder="1" applyAlignment="1">
      <alignment horizontal="left"/>
    </xf>
    <xf numFmtId="164" fontId="5" fillId="7" borderId="11" xfId="0" applyNumberFormat="1" applyFont="1" applyFill="1" applyBorder="1" applyAlignment="1">
      <alignment horizontal="left"/>
    </xf>
    <xf numFmtId="0" fontId="7" fillId="9" borderId="0" xfId="0" applyFont="1" applyFill="1" applyAlignment="1">
      <alignment horizontal="left"/>
    </xf>
    <xf numFmtId="164" fontId="5" fillId="10" borderId="0" xfId="0" applyNumberFormat="1" applyFont="1" applyFill="1" applyAlignment="1">
      <alignment horizontal="left"/>
    </xf>
    <xf numFmtId="164" fontId="5" fillId="10" borderId="17" xfId="0" applyNumberFormat="1" applyFont="1" applyFill="1" applyBorder="1" applyAlignment="1">
      <alignment horizontal="left"/>
    </xf>
    <xf numFmtId="0" fontId="0" fillId="12" borderId="0" xfId="0" applyFill="1"/>
    <xf numFmtId="0" fontId="0" fillId="0" borderId="0" xfId="0" applyAlignment="1">
      <alignment wrapText="1"/>
    </xf>
    <xf numFmtId="0" fontId="0" fillId="3" borderId="0" xfId="0" applyFill="1"/>
    <xf numFmtId="0" fontId="0" fillId="0" borderId="26" xfId="0" applyBorder="1"/>
    <xf numFmtId="0" fontId="0" fillId="0" borderId="26" xfId="0" applyBorder="1" applyAlignment="1">
      <alignment wrapText="1"/>
    </xf>
    <xf numFmtId="0" fontId="6" fillId="8" borderId="4" xfId="0" applyFont="1" applyFill="1" applyBorder="1" applyAlignment="1">
      <alignment horizontal="right"/>
    </xf>
    <xf numFmtId="0" fontId="6" fillId="8" borderId="5" xfId="0" applyFont="1" applyFill="1" applyBorder="1" applyAlignment="1">
      <alignment horizontal="right"/>
    </xf>
    <xf numFmtId="0" fontId="6" fillId="8" borderId="6" xfId="0" applyFont="1" applyFill="1" applyBorder="1" applyAlignment="1">
      <alignment horizontal="right"/>
    </xf>
    <xf numFmtId="165" fontId="6" fillId="8" borderId="7" xfId="0" applyNumberFormat="1" applyFont="1" applyFill="1" applyBorder="1" applyAlignment="1">
      <alignment horizontal="right"/>
    </xf>
    <xf numFmtId="165" fontId="6" fillId="8" borderId="0" xfId="0" applyNumberFormat="1" applyFont="1" applyFill="1" applyAlignment="1">
      <alignment horizontal="right"/>
    </xf>
    <xf numFmtId="165" fontId="6" fillId="8" borderId="8" xfId="0" applyNumberFormat="1" applyFont="1" applyFill="1" applyBorder="1" applyAlignment="1">
      <alignment horizontal="right"/>
    </xf>
    <xf numFmtId="165" fontId="6" fillId="8" borderId="15" xfId="0" applyNumberFormat="1" applyFont="1" applyFill="1" applyBorder="1" applyAlignment="1">
      <alignment horizontal="right"/>
    </xf>
    <xf numFmtId="165" fontId="6" fillId="8" borderId="3" xfId="0" applyNumberFormat="1" applyFont="1" applyFill="1" applyBorder="1" applyAlignment="1">
      <alignment horizontal="right"/>
    </xf>
    <xf numFmtId="165" fontId="6" fillId="8" borderId="16" xfId="0" applyNumberFormat="1" applyFont="1" applyFill="1" applyBorder="1" applyAlignment="1">
      <alignment horizontal="right"/>
    </xf>
    <xf numFmtId="164" fontId="5" fillId="7" borderId="17" xfId="0" applyNumberFormat="1" applyFont="1" applyFill="1" applyBorder="1" applyAlignment="1">
      <alignment horizontal="center"/>
    </xf>
    <xf numFmtId="164" fontId="5" fillId="7" borderId="17" xfId="0" applyNumberFormat="1" applyFont="1" applyFill="1" applyBorder="1" applyAlignment="1">
      <alignment horizontal="left"/>
    </xf>
    <xf numFmtId="165" fontId="5" fillId="8" borderId="9" xfId="0" applyNumberFormat="1" applyFont="1" applyFill="1" applyBorder="1" applyAlignment="1">
      <alignment horizontal="right"/>
    </xf>
    <xf numFmtId="165" fontId="5" fillId="8" borderId="10" xfId="0" applyNumberFormat="1" applyFont="1" applyFill="1" applyBorder="1" applyAlignment="1">
      <alignment horizontal="right"/>
    </xf>
    <xf numFmtId="165" fontId="5" fillId="8" borderId="11" xfId="0" applyNumberFormat="1" applyFont="1" applyFill="1" applyBorder="1" applyAlignment="1">
      <alignment horizontal="right"/>
    </xf>
    <xf numFmtId="164" fontId="5" fillId="8" borderId="9" xfId="0" applyNumberFormat="1" applyFont="1" applyFill="1" applyBorder="1" applyAlignment="1">
      <alignment horizontal="center"/>
    </xf>
    <xf numFmtId="164" fontId="5" fillId="8" borderId="10" xfId="0" applyNumberFormat="1" applyFont="1" applyFill="1" applyBorder="1" applyAlignment="1">
      <alignment horizontal="center"/>
    </xf>
    <xf numFmtId="164" fontId="5" fillId="8" borderId="11" xfId="0" applyNumberFormat="1" applyFont="1" applyFill="1" applyBorder="1" applyAlignment="1">
      <alignment horizontal="center"/>
    </xf>
    <xf numFmtId="164" fontId="5" fillId="8" borderId="9" xfId="0" applyNumberFormat="1" applyFont="1" applyFill="1" applyBorder="1" applyAlignment="1">
      <alignment horizontal="left"/>
    </xf>
    <xf numFmtId="164" fontId="5" fillId="8" borderId="10" xfId="0" applyNumberFormat="1" applyFont="1" applyFill="1" applyBorder="1" applyAlignment="1">
      <alignment horizontal="left"/>
    </xf>
    <xf numFmtId="164" fontId="5" fillId="8" borderId="11" xfId="0" applyNumberFormat="1" applyFont="1" applyFill="1" applyBorder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F96F4-02D0-4D9F-AC40-F307D28F72CD}">
  <dimension ref="A1:T30"/>
  <sheetViews>
    <sheetView workbookViewId="0">
      <selection activeCell="G15" sqref="G15"/>
    </sheetView>
  </sheetViews>
  <sheetFormatPr baseColWidth="10" defaultColWidth="8.83203125" defaultRowHeight="15" x14ac:dyDescent="0.2"/>
  <cols>
    <col min="1" max="1" width="17.83203125" bestFit="1" customWidth="1"/>
    <col min="6" max="6" width="22.5" bestFit="1" customWidth="1"/>
    <col min="8" max="8" width="18.5" bestFit="1" customWidth="1"/>
    <col min="9" max="9" width="19.33203125" bestFit="1" customWidth="1"/>
    <col min="10" max="10" width="10.33203125" bestFit="1" customWidth="1"/>
    <col min="11" max="11" width="10.33203125" customWidth="1"/>
    <col min="12" max="12" width="15.83203125" bestFit="1" customWidth="1"/>
    <col min="13" max="13" width="16.5" bestFit="1" customWidth="1"/>
    <col min="14" max="14" width="9.5" bestFit="1" customWidth="1"/>
    <col min="16" max="16" width="17.1640625" bestFit="1" customWidth="1"/>
    <col min="17" max="17" width="12.33203125" bestFit="1" customWidth="1"/>
    <col min="18" max="18" width="8.33203125" bestFit="1" customWidth="1"/>
  </cols>
  <sheetData>
    <row r="1" spans="1:20" x14ac:dyDescent="0.2">
      <c r="D1" t="s">
        <v>0</v>
      </c>
      <c r="E1" t="s">
        <v>1</v>
      </c>
      <c r="H1" t="s">
        <v>1</v>
      </c>
      <c r="I1" t="s">
        <v>0</v>
      </c>
      <c r="J1" t="s">
        <v>0</v>
      </c>
      <c r="L1" t="s">
        <v>1</v>
      </c>
      <c r="M1" t="s">
        <v>0</v>
      </c>
      <c r="N1" t="s">
        <v>0</v>
      </c>
      <c r="O1" t="s">
        <v>2</v>
      </c>
      <c r="P1" t="s">
        <v>0</v>
      </c>
      <c r="Q1" t="s">
        <v>2</v>
      </c>
      <c r="R1" t="s">
        <v>2</v>
      </c>
      <c r="S1" t="s">
        <v>2</v>
      </c>
    </row>
    <row r="2" spans="1:20" ht="16" x14ac:dyDescent="0.2">
      <c r="A2" s="1" t="s">
        <v>3</v>
      </c>
      <c r="B2" s="1" t="s">
        <v>4</v>
      </c>
      <c r="C2" s="1" t="s">
        <v>5</v>
      </c>
      <c r="D2" s="2" t="s">
        <v>6</v>
      </c>
      <c r="E2" s="2" t="s">
        <v>7</v>
      </c>
      <c r="F2" s="2" t="s">
        <v>60</v>
      </c>
      <c r="G2" s="2" t="s">
        <v>61</v>
      </c>
      <c r="H2" s="2" t="s">
        <v>8</v>
      </c>
      <c r="I2" s="2" t="s">
        <v>9</v>
      </c>
      <c r="J2" s="2" t="s">
        <v>10</v>
      </c>
      <c r="K2" s="2" t="s">
        <v>62</v>
      </c>
      <c r="L2" s="2" t="s">
        <v>11</v>
      </c>
      <c r="M2" s="2" t="s">
        <v>12</v>
      </c>
      <c r="N2" s="2" t="s">
        <v>13</v>
      </c>
      <c r="O2" s="3" t="s">
        <v>14</v>
      </c>
      <c r="P2" s="3" t="s">
        <v>15</v>
      </c>
      <c r="Q2" s="3" t="s">
        <v>16</v>
      </c>
      <c r="R2" s="3" t="s">
        <v>17</v>
      </c>
      <c r="S2" s="3" t="s">
        <v>18</v>
      </c>
      <c r="T2" s="3"/>
    </row>
    <row r="3" spans="1:20" x14ac:dyDescent="0.2">
      <c r="A3" s="98" t="s">
        <v>19</v>
      </c>
      <c r="B3" t="s">
        <v>20</v>
      </c>
      <c r="C3" t="s">
        <v>21</v>
      </c>
      <c r="D3">
        <v>29</v>
      </c>
      <c r="E3">
        <v>15</v>
      </c>
      <c r="F3">
        <f>($E$29-E3)/($E$29-$E$30)</f>
        <v>0</v>
      </c>
      <c r="G3">
        <f>($H$29-H3)/($H$29-$H$30)</f>
        <v>0.45704983721512638</v>
      </c>
      <c r="H3">
        <v>146.86000000000001</v>
      </c>
      <c r="I3" t="s">
        <v>22</v>
      </c>
      <c r="J3" t="s">
        <v>23</v>
      </c>
      <c r="K3">
        <f>($L$29-L3)/($L$29-$L$30)</f>
        <v>0.17365269461077845</v>
      </c>
      <c r="L3">
        <v>39</v>
      </c>
      <c r="M3" t="s">
        <v>22</v>
      </c>
      <c r="N3" t="s">
        <v>22</v>
      </c>
      <c r="O3">
        <v>10</v>
      </c>
      <c r="P3">
        <v>2</v>
      </c>
      <c r="Q3">
        <v>351</v>
      </c>
      <c r="R3" t="s">
        <v>22</v>
      </c>
      <c r="S3">
        <v>279</v>
      </c>
    </row>
    <row r="4" spans="1:20" x14ac:dyDescent="0.2">
      <c r="A4" s="98" t="s">
        <v>24</v>
      </c>
      <c r="B4" t="s">
        <v>25</v>
      </c>
      <c r="C4" t="s">
        <v>26</v>
      </c>
      <c r="D4">
        <v>36</v>
      </c>
      <c r="E4">
        <v>15</v>
      </c>
      <c r="F4">
        <f t="shared" ref="F4:F26" si="0">($E$29-E4)/($E$29-$E$30)</f>
        <v>0</v>
      </c>
      <c r="G4">
        <f t="shared" ref="G4:G26" si="1">($H$29-H4)/($H$29-$H$30)</f>
        <v>0.13865932047750237</v>
      </c>
      <c r="H4">
        <v>185</v>
      </c>
      <c r="I4">
        <v>16.75</v>
      </c>
      <c r="J4" t="s">
        <v>23</v>
      </c>
      <c r="K4">
        <f t="shared" ref="K4:K26" si="2">($L$29-L4)/($L$29-$L$30)</f>
        <v>0.34826347305389221</v>
      </c>
      <c r="L4">
        <v>31.71</v>
      </c>
      <c r="M4">
        <v>26.85</v>
      </c>
      <c r="N4">
        <v>9.25</v>
      </c>
      <c r="O4">
        <v>9</v>
      </c>
      <c r="P4">
        <v>1</v>
      </c>
      <c r="Q4">
        <v>222</v>
      </c>
      <c r="R4">
        <v>16</v>
      </c>
      <c r="S4">
        <v>728.9</v>
      </c>
    </row>
    <row r="5" spans="1:20" x14ac:dyDescent="0.2">
      <c r="A5" s="98" t="s">
        <v>27</v>
      </c>
      <c r="B5" t="s">
        <v>28</v>
      </c>
      <c r="C5" t="s">
        <v>21</v>
      </c>
      <c r="D5">
        <v>32</v>
      </c>
      <c r="E5">
        <v>15</v>
      </c>
      <c r="F5">
        <f t="shared" si="0"/>
        <v>0</v>
      </c>
      <c r="H5" t="s">
        <v>22</v>
      </c>
      <c r="I5">
        <v>21</v>
      </c>
      <c r="J5" t="s">
        <v>29</v>
      </c>
      <c r="L5" t="s">
        <v>22</v>
      </c>
      <c r="M5">
        <v>24.5</v>
      </c>
      <c r="N5">
        <v>7.6</v>
      </c>
      <c r="O5">
        <v>5</v>
      </c>
      <c r="P5">
        <v>0</v>
      </c>
      <c r="Q5">
        <v>0</v>
      </c>
      <c r="R5">
        <v>18</v>
      </c>
      <c r="S5">
        <v>593.6</v>
      </c>
    </row>
    <row r="6" spans="1:20" s="5" customFormat="1" x14ac:dyDescent="0.2">
      <c r="A6" s="5" t="s">
        <v>30</v>
      </c>
      <c r="B6" s="5" t="s">
        <v>25</v>
      </c>
      <c r="C6" s="5" t="s">
        <v>21</v>
      </c>
      <c r="D6" s="5">
        <v>30</v>
      </c>
      <c r="E6" s="5">
        <v>2</v>
      </c>
      <c r="F6" s="5">
        <f t="shared" si="0"/>
        <v>0.9285714285714286</v>
      </c>
      <c r="G6" s="5">
        <f t="shared" si="1"/>
        <v>0.65180732949327991</v>
      </c>
      <c r="H6" s="5">
        <v>123.53</v>
      </c>
      <c r="I6" s="5" t="s">
        <v>22</v>
      </c>
      <c r="J6" s="5" t="s">
        <v>29</v>
      </c>
      <c r="K6" s="5">
        <f t="shared" si="2"/>
        <v>0.60479041916167664</v>
      </c>
      <c r="L6" s="5">
        <v>21</v>
      </c>
      <c r="M6" s="5" t="s">
        <v>22</v>
      </c>
      <c r="N6" s="5" t="s">
        <v>22</v>
      </c>
      <c r="O6" s="5">
        <v>1</v>
      </c>
      <c r="P6" s="5">
        <v>0</v>
      </c>
      <c r="Q6" s="5">
        <v>42</v>
      </c>
      <c r="R6" s="5">
        <v>0</v>
      </c>
      <c r="S6" s="5">
        <v>27.4</v>
      </c>
    </row>
    <row r="7" spans="1:20" x14ac:dyDescent="0.2">
      <c r="A7" s="98" t="s">
        <v>31</v>
      </c>
      <c r="B7" t="s">
        <v>25</v>
      </c>
      <c r="C7" t="s">
        <v>21</v>
      </c>
      <c r="D7">
        <v>29</v>
      </c>
      <c r="E7">
        <v>15</v>
      </c>
      <c r="F7">
        <f t="shared" si="0"/>
        <v>0</v>
      </c>
      <c r="G7">
        <f t="shared" si="1"/>
        <v>0.35737540696218378</v>
      </c>
      <c r="H7">
        <v>158.80000000000001</v>
      </c>
      <c r="I7">
        <v>23</v>
      </c>
      <c r="J7" t="s">
        <v>29</v>
      </c>
      <c r="K7">
        <f t="shared" si="2"/>
        <v>0</v>
      </c>
      <c r="L7">
        <v>46.25</v>
      </c>
      <c r="M7">
        <v>37</v>
      </c>
      <c r="N7">
        <v>8.9</v>
      </c>
      <c r="O7">
        <v>13</v>
      </c>
      <c r="P7">
        <v>3</v>
      </c>
      <c r="Q7">
        <v>370</v>
      </c>
      <c r="R7">
        <v>4</v>
      </c>
      <c r="S7">
        <v>363.1</v>
      </c>
    </row>
    <row r="8" spans="1:20" x14ac:dyDescent="0.2">
      <c r="A8" s="98" t="s">
        <v>32</v>
      </c>
      <c r="B8" t="s">
        <v>25</v>
      </c>
      <c r="C8" t="s">
        <v>26</v>
      </c>
      <c r="D8">
        <v>36</v>
      </c>
      <c r="E8">
        <v>15</v>
      </c>
      <c r="F8">
        <f t="shared" si="0"/>
        <v>0</v>
      </c>
      <c r="G8">
        <f t="shared" si="1"/>
        <v>0.4308372986058937</v>
      </c>
      <c r="H8">
        <v>150</v>
      </c>
      <c r="I8">
        <v>18</v>
      </c>
      <c r="J8" t="s">
        <v>33</v>
      </c>
      <c r="K8">
        <f t="shared" si="2"/>
        <v>0.27281437125748503</v>
      </c>
      <c r="L8">
        <v>34.86</v>
      </c>
      <c r="M8">
        <v>23.31</v>
      </c>
      <c r="N8">
        <v>7.75</v>
      </c>
      <c r="O8">
        <v>14</v>
      </c>
      <c r="P8">
        <v>2</v>
      </c>
      <c r="Q8">
        <v>488</v>
      </c>
      <c r="R8">
        <v>20</v>
      </c>
      <c r="S8">
        <v>1115.2</v>
      </c>
    </row>
    <row r="9" spans="1:20" x14ac:dyDescent="0.2">
      <c r="A9" s="4" t="s">
        <v>34</v>
      </c>
      <c r="B9" s="4" t="s">
        <v>20</v>
      </c>
      <c r="C9" s="4" t="s">
        <v>26</v>
      </c>
      <c r="D9" s="4">
        <v>34</v>
      </c>
      <c r="E9" s="4" t="s">
        <v>35</v>
      </c>
      <c r="H9" s="4" t="s">
        <v>36</v>
      </c>
      <c r="I9" s="4" t="s">
        <v>36</v>
      </c>
      <c r="J9" s="4" t="s">
        <v>36</v>
      </c>
      <c r="L9" s="4" t="s">
        <v>36</v>
      </c>
      <c r="M9" s="4" t="s">
        <v>36</v>
      </c>
      <c r="N9" s="4" t="s">
        <v>36</v>
      </c>
      <c r="O9" s="4" t="s">
        <v>36</v>
      </c>
      <c r="P9" s="4" t="s">
        <v>36</v>
      </c>
      <c r="Q9" s="4" t="s">
        <v>36</v>
      </c>
      <c r="R9" s="4" t="s">
        <v>36</v>
      </c>
      <c r="S9" s="4" t="s">
        <v>36</v>
      </c>
    </row>
    <row r="10" spans="1:20" x14ac:dyDescent="0.2">
      <c r="A10" s="98" t="s">
        <v>37</v>
      </c>
      <c r="B10" t="s">
        <v>28</v>
      </c>
      <c r="C10" t="s">
        <v>21</v>
      </c>
      <c r="D10">
        <v>27</v>
      </c>
      <c r="E10">
        <v>14</v>
      </c>
      <c r="F10">
        <f t="shared" si="0"/>
        <v>7.1428571428571425E-2</v>
      </c>
      <c r="H10" t="s">
        <v>22</v>
      </c>
      <c r="I10">
        <v>23</v>
      </c>
      <c r="J10" t="s">
        <v>38</v>
      </c>
      <c r="L10" t="s">
        <v>22</v>
      </c>
      <c r="M10">
        <v>27.5</v>
      </c>
      <c r="N10">
        <v>8.1999999999999993</v>
      </c>
      <c r="O10">
        <v>7</v>
      </c>
      <c r="P10">
        <v>0</v>
      </c>
      <c r="Q10">
        <v>0</v>
      </c>
      <c r="R10">
        <v>15</v>
      </c>
      <c r="S10">
        <v>259.7</v>
      </c>
    </row>
    <row r="11" spans="1:20" x14ac:dyDescent="0.2">
      <c r="A11" s="98" t="s">
        <v>39</v>
      </c>
      <c r="B11" t="s">
        <v>20</v>
      </c>
      <c r="C11" t="s">
        <v>21</v>
      </c>
      <c r="D11">
        <v>27</v>
      </c>
      <c r="E11">
        <v>15</v>
      </c>
      <c r="F11">
        <f t="shared" si="0"/>
        <v>0</v>
      </c>
      <c r="G11">
        <f t="shared" si="1"/>
        <v>0.44194006177477269</v>
      </c>
      <c r="H11">
        <v>148.66999999999999</v>
      </c>
      <c r="I11" t="s">
        <v>22</v>
      </c>
      <c r="J11" t="s">
        <v>40</v>
      </c>
      <c r="K11">
        <f t="shared" si="2"/>
        <v>0.66059880239520952</v>
      </c>
      <c r="L11">
        <v>18.670000000000002</v>
      </c>
      <c r="M11" t="s">
        <v>22</v>
      </c>
      <c r="N11" t="s">
        <v>22</v>
      </c>
      <c r="O11">
        <v>8</v>
      </c>
      <c r="P11">
        <v>1</v>
      </c>
      <c r="Q11">
        <v>168</v>
      </c>
      <c r="R11" t="s">
        <v>22</v>
      </c>
      <c r="S11">
        <v>133</v>
      </c>
    </row>
    <row r="12" spans="1:20" x14ac:dyDescent="0.2">
      <c r="A12" t="s">
        <v>41</v>
      </c>
      <c r="B12" t="s">
        <v>42</v>
      </c>
      <c r="C12" t="s">
        <v>26</v>
      </c>
      <c r="D12">
        <v>22</v>
      </c>
      <c r="E12">
        <v>3</v>
      </c>
      <c r="F12">
        <f t="shared" si="0"/>
        <v>0.8571428571428571</v>
      </c>
      <c r="G12">
        <f t="shared" si="1"/>
        <v>0.55789297938058269</v>
      </c>
      <c r="H12">
        <v>134.78</v>
      </c>
      <c r="I12" t="s">
        <v>22</v>
      </c>
      <c r="J12" t="s">
        <v>43</v>
      </c>
      <c r="K12">
        <f t="shared" si="2"/>
        <v>0.3652694610778443</v>
      </c>
      <c r="L12">
        <v>31</v>
      </c>
      <c r="M12" t="s">
        <v>22</v>
      </c>
      <c r="N12" t="s">
        <v>22</v>
      </c>
      <c r="O12">
        <v>1</v>
      </c>
      <c r="P12">
        <v>0</v>
      </c>
      <c r="Q12">
        <v>62</v>
      </c>
      <c r="R12" t="s">
        <v>22</v>
      </c>
      <c r="S12">
        <v>55</v>
      </c>
    </row>
    <row r="13" spans="1:20" s="5" customFormat="1" x14ac:dyDescent="0.2">
      <c r="A13" s="5" t="s">
        <v>44</v>
      </c>
      <c r="B13" s="5" t="s">
        <v>28</v>
      </c>
      <c r="C13" s="5" t="s">
        <v>21</v>
      </c>
      <c r="D13" s="5">
        <v>21</v>
      </c>
      <c r="E13" s="5">
        <v>13</v>
      </c>
      <c r="F13" s="5">
        <f t="shared" si="0"/>
        <v>0.14285714285714285</v>
      </c>
      <c r="H13" s="5" t="s">
        <v>22</v>
      </c>
      <c r="I13" s="5">
        <v>26.4</v>
      </c>
      <c r="J13" s="5" t="s">
        <v>45</v>
      </c>
      <c r="L13" s="5" t="s">
        <v>22</v>
      </c>
      <c r="M13" s="5">
        <v>32.1</v>
      </c>
      <c r="N13" s="5">
        <v>8.5</v>
      </c>
      <c r="O13" s="5">
        <v>6</v>
      </c>
      <c r="P13" s="5">
        <v>0</v>
      </c>
      <c r="Q13" s="5">
        <v>0</v>
      </c>
      <c r="R13" s="5">
        <v>10</v>
      </c>
      <c r="S13" s="5">
        <v>-3.4</v>
      </c>
    </row>
    <row r="14" spans="1:20" x14ac:dyDescent="0.2">
      <c r="A14" s="98" t="s">
        <v>46</v>
      </c>
      <c r="B14" t="s">
        <v>28</v>
      </c>
      <c r="C14" t="s">
        <v>21</v>
      </c>
      <c r="D14">
        <v>24</v>
      </c>
      <c r="E14">
        <v>14</v>
      </c>
      <c r="F14">
        <f t="shared" si="0"/>
        <v>7.1428571428571425E-2</v>
      </c>
      <c r="H14" t="s">
        <v>22</v>
      </c>
      <c r="I14">
        <v>22</v>
      </c>
      <c r="J14" t="s">
        <v>45</v>
      </c>
      <c r="L14" t="s">
        <v>22</v>
      </c>
      <c r="M14">
        <v>25.5</v>
      </c>
      <c r="N14">
        <v>7.9</v>
      </c>
      <c r="O14">
        <v>4</v>
      </c>
      <c r="P14">
        <v>0</v>
      </c>
      <c r="Q14">
        <v>0</v>
      </c>
      <c r="R14">
        <v>14</v>
      </c>
      <c r="S14">
        <v>514.9</v>
      </c>
    </row>
    <row r="15" spans="1:20" x14ac:dyDescent="0.2">
      <c r="A15" t="s">
        <v>47</v>
      </c>
      <c r="B15" t="s">
        <v>25</v>
      </c>
      <c r="C15" t="s">
        <v>21</v>
      </c>
      <c r="D15">
        <v>26</v>
      </c>
      <c r="E15">
        <v>9</v>
      </c>
      <c r="F15">
        <f t="shared" si="0"/>
        <v>0.42857142857142855</v>
      </c>
      <c r="G15">
        <f t="shared" si="1"/>
        <v>0.84823441021788126</v>
      </c>
      <c r="H15">
        <v>100</v>
      </c>
      <c r="I15">
        <v>30</v>
      </c>
      <c r="J15" t="s">
        <v>45</v>
      </c>
      <c r="K15">
        <f t="shared" si="2"/>
        <v>0.79640718562874246</v>
      </c>
      <c r="L15">
        <v>13</v>
      </c>
      <c r="M15">
        <v>31.8</v>
      </c>
      <c r="N15">
        <v>9.1</v>
      </c>
      <c r="O15">
        <v>2</v>
      </c>
      <c r="P15">
        <v>0</v>
      </c>
      <c r="Q15">
        <v>26</v>
      </c>
      <c r="R15">
        <v>5</v>
      </c>
      <c r="S15">
        <v>12.5</v>
      </c>
    </row>
    <row r="16" spans="1:20" x14ac:dyDescent="0.2">
      <c r="A16" s="4" t="s">
        <v>48</v>
      </c>
      <c r="B16" s="4" t="s">
        <v>42</v>
      </c>
      <c r="C16" s="4" t="s">
        <v>21</v>
      </c>
      <c r="D16" s="4">
        <v>30</v>
      </c>
      <c r="E16" s="4" t="s">
        <v>22</v>
      </c>
      <c r="H16" s="4" t="s">
        <v>22</v>
      </c>
      <c r="I16" s="4" t="s">
        <v>22</v>
      </c>
      <c r="J16" s="4" t="s">
        <v>43</v>
      </c>
      <c r="L16" s="4" t="s">
        <v>22</v>
      </c>
      <c r="M16" s="4" t="s">
        <v>22</v>
      </c>
      <c r="N16" s="4" t="s">
        <v>22</v>
      </c>
      <c r="O16" s="4" t="s">
        <v>22</v>
      </c>
      <c r="P16" s="4" t="s">
        <v>22</v>
      </c>
      <c r="Q16" s="4" t="s">
        <v>22</v>
      </c>
      <c r="R16" s="4" t="s">
        <v>22</v>
      </c>
      <c r="S16" s="4" t="s">
        <v>22</v>
      </c>
    </row>
    <row r="17" spans="1:19" x14ac:dyDescent="0.2">
      <c r="A17" s="4" t="s">
        <v>49</v>
      </c>
      <c r="B17" s="4" t="s">
        <v>28</v>
      </c>
      <c r="C17" s="4" t="s">
        <v>21</v>
      </c>
      <c r="D17" s="4">
        <v>26</v>
      </c>
      <c r="E17" s="4" t="s">
        <v>22</v>
      </c>
      <c r="H17" s="4" t="s">
        <v>22</v>
      </c>
      <c r="I17" s="4" t="s">
        <v>22</v>
      </c>
      <c r="J17" s="4" t="s">
        <v>22</v>
      </c>
      <c r="L17" s="4" t="s">
        <v>22</v>
      </c>
      <c r="M17" s="4" t="s">
        <v>22</v>
      </c>
      <c r="N17" s="4" t="s">
        <v>22</v>
      </c>
      <c r="O17" s="4" t="s">
        <v>22</v>
      </c>
      <c r="P17" s="4" t="s">
        <v>22</v>
      </c>
      <c r="Q17" s="4" t="s">
        <v>22</v>
      </c>
      <c r="R17" s="4" t="s">
        <v>22</v>
      </c>
      <c r="S17" s="4" t="s">
        <v>22</v>
      </c>
    </row>
    <row r="18" spans="1:19" x14ac:dyDescent="0.2">
      <c r="A18" s="98" t="s">
        <v>50</v>
      </c>
      <c r="B18" t="s">
        <v>28</v>
      </c>
      <c r="C18" t="s">
        <v>26</v>
      </c>
      <c r="D18">
        <v>34</v>
      </c>
      <c r="E18">
        <v>14</v>
      </c>
      <c r="F18">
        <f t="shared" si="0"/>
        <v>7.1428571428571425E-2</v>
      </c>
      <c r="G18">
        <f t="shared" si="1"/>
        <v>1</v>
      </c>
      <c r="H18">
        <v>81.819999999999993</v>
      </c>
      <c r="I18">
        <v>17.600000000000001</v>
      </c>
      <c r="J18" t="s">
        <v>51</v>
      </c>
      <c r="K18">
        <f t="shared" si="2"/>
        <v>1</v>
      </c>
      <c r="L18">
        <v>4.5</v>
      </c>
      <c r="M18">
        <v>22.87</v>
      </c>
      <c r="N18">
        <v>7.5</v>
      </c>
      <c r="O18">
        <v>3</v>
      </c>
      <c r="P18">
        <v>0</v>
      </c>
      <c r="Q18">
        <v>9</v>
      </c>
      <c r="R18">
        <v>17</v>
      </c>
      <c r="S18">
        <v>336.4</v>
      </c>
    </row>
    <row r="19" spans="1:19" x14ac:dyDescent="0.2">
      <c r="A19" s="98" t="s">
        <v>52</v>
      </c>
      <c r="B19" t="s">
        <v>25</v>
      </c>
      <c r="C19" t="s">
        <v>21</v>
      </c>
      <c r="D19">
        <v>27</v>
      </c>
      <c r="E19">
        <v>12</v>
      </c>
      <c r="F19">
        <f t="shared" si="0"/>
        <v>0.21428571428571427</v>
      </c>
      <c r="G19">
        <f t="shared" si="1"/>
        <v>0</v>
      </c>
      <c r="H19">
        <v>201.61</v>
      </c>
      <c r="I19">
        <v>22.5</v>
      </c>
      <c r="J19" t="s">
        <v>45</v>
      </c>
      <c r="K19">
        <f t="shared" si="2"/>
        <v>0.62874251497005984</v>
      </c>
      <c r="L19">
        <v>20</v>
      </c>
      <c r="M19">
        <v>36.5</v>
      </c>
      <c r="N19">
        <v>9.1999999999999993</v>
      </c>
      <c r="O19">
        <v>5</v>
      </c>
      <c r="P19">
        <v>0</v>
      </c>
      <c r="Q19">
        <v>120</v>
      </c>
      <c r="R19">
        <v>6</v>
      </c>
      <c r="S19">
        <v>173.9</v>
      </c>
    </row>
    <row r="20" spans="1:19" x14ac:dyDescent="0.2">
      <c r="A20" s="98" t="s">
        <v>53</v>
      </c>
      <c r="B20" t="s">
        <v>20</v>
      </c>
      <c r="C20" t="s">
        <v>21</v>
      </c>
      <c r="D20">
        <v>21</v>
      </c>
      <c r="E20">
        <v>10</v>
      </c>
      <c r="F20">
        <f t="shared" si="0"/>
        <v>0.35714285714285715</v>
      </c>
      <c r="G20">
        <f t="shared" si="1"/>
        <v>0.38709408130895734</v>
      </c>
      <c r="H20">
        <v>155.24</v>
      </c>
      <c r="I20" t="s">
        <v>22</v>
      </c>
      <c r="J20" t="s">
        <v>45</v>
      </c>
      <c r="K20">
        <f t="shared" si="2"/>
        <v>0.54994011976047907</v>
      </c>
      <c r="L20">
        <v>23.29</v>
      </c>
      <c r="M20" t="s">
        <v>22</v>
      </c>
      <c r="N20" t="s">
        <v>22</v>
      </c>
      <c r="O20">
        <v>4</v>
      </c>
      <c r="P20">
        <v>1</v>
      </c>
      <c r="Q20">
        <v>163</v>
      </c>
      <c r="R20" t="s">
        <v>22</v>
      </c>
      <c r="S20">
        <v>150.9</v>
      </c>
    </row>
    <row r="21" spans="1:19" x14ac:dyDescent="0.2">
      <c r="A21" s="4" t="s">
        <v>54</v>
      </c>
      <c r="B21" s="4" t="s">
        <v>20</v>
      </c>
      <c r="C21" s="4" t="s">
        <v>26</v>
      </c>
      <c r="D21" s="4">
        <v>26</v>
      </c>
      <c r="E21" s="4">
        <v>10</v>
      </c>
      <c r="F21">
        <f t="shared" si="0"/>
        <v>0.35714285714285715</v>
      </c>
      <c r="G21">
        <f t="shared" si="1"/>
        <v>0.53385090575173222</v>
      </c>
      <c r="H21" s="4">
        <v>137.66</v>
      </c>
      <c r="I21" s="4">
        <v>24</v>
      </c>
      <c r="J21" s="4" t="s">
        <v>43</v>
      </c>
      <c r="K21">
        <f t="shared" si="2"/>
        <v>0.68455089820359283</v>
      </c>
      <c r="L21" s="4">
        <v>17.670000000000002</v>
      </c>
      <c r="M21" s="4">
        <v>20.5</v>
      </c>
      <c r="N21" s="4">
        <v>8.6999999999999993</v>
      </c>
      <c r="O21" s="4">
        <v>3</v>
      </c>
      <c r="P21" s="4">
        <v>0</v>
      </c>
      <c r="Q21" s="4">
        <v>106</v>
      </c>
      <c r="R21" s="4">
        <v>1</v>
      </c>
      <c r="S21" s="4" t="s">
        <v>36</v>
      </c>
    </row>
    <row r="22" spans="1:19" x14ac:dyDescent="0.2">
      <c r="A22" t="s">
        <v>55</v>
      </c>
      <c r="B22" t="s">
        <v>20</v>
      </c>
      <c r="C22" t="s">
        <v>21</v>
      </c>
      <c r="D22">
        <v>35</v>
      </c>
      <c r="E22">
        <v>1</v>
      </c>
      <c r="F22">
        <f t="shared" si="0"/>
        <v>1</v>
      </c>
      <c r="G22">
        <f t="shared" si="1"/>
        <v>0.55204941981801492</v>
      </c>
      <c r="H22">
        <v>135.47999999999999</v>
      </c>
      <c r="I22" t="s">
        <v>22</v>
      </c>
      <c r="J22" t="s">
        <v>38</v>
      </c>
      <c r="K22">
        <f t="shared" si="2"/>
        <v>0.10179640718562874</v>
      </c>
      <c r="L22">
        <v>42</v>
      </c>
      <c r="M22" t="s">
        <v>22</v>
      </c>
      <c r="N22" t="s">
        <v>22</v>
      </c>
      <c r="O22">
        <v>1</v>
      </c>
      <c r="P22">
        <v>0</v>
      </c>
      <c r="Q22">
        <v>42</v>
      </c>
      <c r="R22" t="s">
        <v>22</v>
      </c>
      <c r="S22">
        <v>61.2</v>
      </c>
    </row>
    <row r="23" spans="1:19" x14ac:dyDescent="0.2">
      <c r="A23" s="4" t="s">
        <v>56</v>
      </c>
      <c r="B23" s="4" t="s">
        <v>28</v>
      </c>
      <c r="C23" s="4" t="s">
        <v>26</v>
      </c>
      <c r="D23" s="4">
        <v>23</v>
      </c>
      <c r="E23" s="4" t="s">
        <v>22</v>
      </c>
      <c r="H23" s="4" t="s">
        <v>22</v>
      </c>
      <c r="I23" s="4" t="s">
        <v>22</v>
      </c>
      <c r="J23" s="4" t="s">
        <v>38</v>
      </c>
      <c r="L23" s="4" t="s">
        <v>22</v>
      </c>
      <c r="M23" s="4" t="s">
        <v>22</v>
      </c>
      <c r="N23" s="4" t="s">
        <v>22</v>
      </c>
      <c r="O23" s="4" t="s">
        <v>22</v>
      </c>
      <c r="P23" s="4">
        <v>1</v>
      </c>
      <c r="Q23" s="4">
        <v>0</v>
      </c>
      <c r="R23" s="4" t="s">
        <v>22</v>
      </c>
      <c r="S23" s="4" t="s">
        <v>36</v>
      </c>
    </row>
    <row r="24" spans="1:19" x14ac:dyDescent="0.2">
      <c r="A24" s="4" t="s">
        <v>57</v>
      </c>
      <c r="B24" s="4" t="s">
        <v>28</v>
      </c>
      <c r="C24" s="4" t="s">
        <v>26</v>
      </c>
      <c r="D24" s="4">
        <v>26</v>
      </c>
      <c r="E24" s="4" t="s">
        <v>35</v>
      </c>
      <c r="H24" s="4" t="s">
        <v>22</v>
      </c>
      <c r="I24" s="4" t="s">
        <v>22</v>
      </c>
      <c r="J24" s="4" t="s">
        <v>45</v>
      </c>
      <c r="L24" s="4" t="s">
        <v>22</v>
      </c>
      <c r="M24" s="4" t="s">
        <v>22</v>
      </c>
      <c r="N24" s="4" t="s">
        <v>22</v>
      </c>
      <c r="O24" s="4" t="s">
        <v>22</v>
      </c>
      <c r="P24" s="4" t="s">
        <v>22</v>
      </c>
      <c r="Q24" s="4" t="s">
        <v>22</v>
      </c>
      <c r="R24" s="4" t="s">
        <v>22</v>
      </c>
      <c r="S24" s="4" t="s">
        <v>36</v>
      </c>
    </row>
    <row r="25" spans="1:19" x14ac:dyDescent="0.2">
      <c r="A25" s="4" t="s">
        <v>58</v>
      </c>
      <c r="B25" s="4" t="s">
        <v>28</v>
      </c>
      <c r="C25" s="4" t="s">
        <v>21</v>
      </c>
      <c r="D25" s="4">
        <v>24</v>
      </c>
      <c r="E25" s="4" t="s">
        <v>35</v>
      </c>
      <c r="H25" s="4" t="s">
        <v>22</v>
      </c>
      <c r="I25" s="4" t="s">
        <v>22</v>
      </c>
      <c r="J25" s="4" t="s">
        <v>45</v>
      </c>
      <c r="L25" s="4" t="s">
        <v>22</v>
      </c>
      <c r="M25" s="4" t="s">
        <v>22</v>
      </c>
      <c r="N25" s="4" t="s">
        <v>22</v>
      </c>
      <c r="O25" s="4" t="s">
        <v>22</v>
      </c>
      <c r="P25" s="4" t="s">
        <v>22</v>
      </c>
      <c r="Q25" s="4" t="s">
        <v>22</v>
      </c>
      <c r="R25" s="4" t="s">
        <v>22</v>
      </c>
      <c r="S25" s="4" t="s">
        <v>36</v>
      </c>
    </row>
    <row r="26" spans="1:19" x14ac:dyDescent="0.2">
      <c r="A26" s="98" t="s">
        <v>59</v>
      </c>
      <c r="B26" t="s">
        <v>42</v>
      </c>
      <c r="C26" t="s">
        <v>26</v>
      </c>
      <c r="D26">
        <v>28</v>
      </c>
      <c r="E26">
        <v>12</v>
      </c>
      <c r="F26">
        <f t="shared" si="0"/>
        <v>0.21428571428571427</v>
      </c>
      <c r="G26">
        <f t="shared" si="1"/>
        <v>0.46790216211703817</v>
      </c>
      <c r="H26">
        <v>145.56</v>
      </c>
      <c r="I26" t="s">
        <v>22</v>
      </c>
      <c r="J26" t="s">
        <v>38</v>
      </c>
      <c r="K26">
        <f t="shared" si="2"/>
        <v>0.16047904191616774</v>
      </c>
      <c r="L26">
        <v>39.549999999999997</v>
      </c>
      <c r="M26" t="s">
        <v>22</v>
      </c>
      <c r="N26" t="s">
        <v>22</v>
      </c>
      <c r="O26">
        <v>5</v>
      </c>
      <c r="P26">
        <v>1</v>
      </c>
      <c r="Q26">
        <v>435</v>
      </c>
      <c r="R26" t="s">
        <v>22</v>
      </c>
      <c r="S26">
        <v>480.7</v>
      </c>
    </row>
    <row r="29" spans="1:19" x14ac:dyDescent="0.2">
      <c r="D29" t="s">
        <v>63</v>
      </c>
      <c r="E29">
        <f>MAX(E3:E26)</f>
        <v>15</v>
      </c>
      <c r="G29" t="s">
        <v>63</v>
      </c>
      <c r="H29">
        <f>MAX(H3:H26)</f>
        <v>201.61</v>
      </c>
      <c r="K29" t="s">
        <v>63</v>
      </c>
      <c r="L29">
        <f>MAX(L3:L26)</f>
        <v>46.25</v>
      </c>
    </row>
    <row r="30" spans="1:19" x14ac:dyDescent="0.2">
      <c r="D30" t="s">
        <v>64</v>
      </c>
      <c r="E30">
        <f>MIN(E3:E26)</f>
        <v>1</v>
      </c>
      <c r="G30" t="s">
        <v>64</v>
      </c>
      <c r="H30">
        <f>MIN(H3:H26)</f>
        <v>81.819999999999993</v>
      </c>
      <c r="K30" t="s">
        <v>64</v>
      </c>
      <c r="L30">
        <f>MIN(L3:L26)</f>
        <v>4.5</v>
      </c>
    </row>
  </sheetData>
  <autoFilter ref="A2:T26" xr:uid="{A1FF96F4-02D0-4D9F-AC40-F307D28F72C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DB693-B92A-465C-9CD9-08A6730B8B47}">
  <dimension ref="B1:N37"/>
  <sheetViews>
    <sheetView topLeftCell="A8" workbookViewId="0">
      <selection activeCell="N38" sqref="N38"/>
    </sheetView>
  </sheetViews>
  <sheetFormatPr baseColWidth="10" defaultColWidth="8.83203125" defaultRowHeight="15" x14ac:dyDescent="0.2"/>
  <cols>
    <col min="2" max="2" width="17.1640625" bestFit="1" customWidth="1"/>
    <col min="12" max="12" width="15.5" bestFit="1" customWidth="1"/>
  </cols>
  <sheetData>
    <row r="1" spans="2:13" x14ac:dyDescent="0.2">
      <c r="D1" t="s">
        <v>0</v>
      </c>
      <c r="E1" t="s">
        <v>1</v>
      </c>
      <c r="F1" t="s">
        <v>0</v>
      </c>
      <c r="G1" t="s">
        <v>0</v>
      </c>
      <c r="H1" t="s">
        <v>0</v>
      </c>
      <c r="I1" t="s">
        <v>0</v>
      </c>
      <c r="J1" t="s">
        <v>2</v>
      </c>
      <c r="K1" t="s">
        <v>2</v>
      </c>
      <c r="L1" t="s">
        <v>2</v>
      </c>
    </row>
    <row r="2" spans="2:13" ht="16" x14ac:dyDescent="0.2">
      <c r="B2" s="1" t="s">
        <v>3</v>
      </c>
      <c r="C2" s="1" t="s">
        <v>5</v>
      </c>
      <c r="D2" s="2" t="s">
        <v>6</v>
      </c>
      <c r="E2" s="2" t="s">
        <v>7</v>
      </c>
      <c r="F2" s="2" t="s">
        <v>9</v>
      </c>
      <c r="G2" s="2" t="s">
        <v>10</v>
      </c>
      <c r="H2" s="2" t="s">
        <v>12</v>
      </c>
      <c r="I2" s="2" t="s">
        <v>13</v>
      </c>
      <c r="J2" s="3" t="s">
        <v>14</v>
      </c>
      <c r="K2" s="3" t="s">
        <v>17</v>
      </c>
      <c r="L2" s="3" t="s">
        <v>18</v>
      </c>
    </row>
    <row r="3" spans="2:13" ht="16" x14ac:dyDescent="0.2">
      <c r="B3" s="1" t="s">
        <v>86</v>
      </c>
      <c r="C3" s="1"/>
      <c r="D3" s="2">
        <v>6</v>
      </c>
      <c r="E3" s="2">
        <v>9</v>
      </c>
      <c r="F3" s="2">
        <v>9</v>
      </c>
      <c r="G3" s="2">
        <v>4</v>
      </c>
      <c r="H3" s="2">
        <v>8</v>
      </c>
      <c r="I3" s="2">
        <v>9</v>
      </c>
      <c r="J3" s="3">
        <v>5</v>
      </c>
      <c r="K3" s="3">
        <v>9</v>
      </c>
      <c r="L3" s="3">
        <v>8</v>
      </c>
    </row>
    <row r="4" spans="2:13" x14ac:dyDescent="0.2">
      <c r="B4" t="s">
        <v>27</v>
      </c>
      <c r="C4" t="s">
        <v>21</v>
      </c>
      <c r="D4">
        <v>32</v>
      </c>
      <c r="E4">
        <v>15</v>
      </c>
      <c r="F4">
        <v>21</v>
      </c>
      <c r="G4">
        <v>800</v>
      </c>
      <c r="H4">
        <v>24.5</v>
      </c>
      <c r="I4">
        <v>7.6</v>
      </c>
      <c r="J4">
        <v>5</v>
      </c>
      <c r="K4">
        <v>18</v>
      </c>
      <c r="L4">
        <v>593.6</v>
      </c>
    </row>
    <row r="5" spans="2:13" x14ac:dyDescent="0.2">
      <c r="B5" t="s">
        <v>37</v>
      </c>
      <c r="C5" t="s">
        <v>21</v>
      </c>
      <c r="D5">
        <v>27</v>
      </c>
      <c r="E5">
        <v>14</v>
      </c>
      <c r="F5">
        <v>23</v>
      </c>
      <c r="G5">
        <v>100</v>
      </c>
      <c r="H5">
        <v>27.5</v>
      </c>
      <c r="I5">
        <v>8.1999999999999993</v>
      </c>
      <c r="J5">
        <v>7</v>
      </c>
      <c r="K5">
        <v>15</v>
      </c>
      <c r="L5">
        <v>259.7</v>
      </c>
    </row>
    <row r="6" spans="2:13" x14ac:dyDescent="0.2">
      <c r="B6" t="s">
        <v>46</v>
      </c>
      <c r="C6" t="s">
        <v>21</v>
      </c>
      <c r="D6">
        <v>24</v>
      </c>
      <c r="E6">
        <v>14</v>
      </c>
      <c r="F6">
        <v>22</v>
      </c>
      <c r="G6">
        <v>20</v>
      </c>
      <c r="H6">
        <v>25.5</v>
      </c>
      <c r="I6">
        <v>7.9</v>
      </c>
      <c r="J6">
        <v>4</v>
      </c>
      <c r="K6">
        <v>14</v>
      </c>
      <c r="L6">
        <v>514.9</v>
      </c>
    </row>
    <row r="7" spans="2:13" x14ac:dyDescent="0.2">
      <c r="B7" t="s">
        <v>50</v>
      </c>
      <c r="C7" t="s">
        <v>26</v>
      </c>
      <c r="D7">
        <v>34</v>
      </c>
      <c r="E7">
        <v>14</v>
      </c>
      <c r="F7">
        <v>17.600000000000001</v>
      </c>
      <c r="G7">
        <v>2475</v>
      </c>
      <c r="H7">
        <v>22.87</v>
      </c>
      <c r="I7">
        <v>7.5</v>
      </c>
      <c r="J7">
        <v>3</v>
      </c>
      <c r="K7">
        <v>17</v>
      </c>
      <c r="L7">
        <v>336.4</v>
      </c>
    </row>
    <row r="9" spans="2:13" x14ac:dyDescent="0.2">
      <c r="B9" t="s">
        <v>87</v>
      </c>
      <c r="D9" s="73">
        <f t="shared" ref="D9:L9" si="0">D3/SUM($D$3:$L$3)</f>
        <v>8.9552238805970144E-2</v>
      </c>
      <c r="E9" s="73">
        <f t="shared" si="0"/>
        <v>0.13432835820895522</v>
      </c>
      <c r="F9" s="73">
        <f t="shared" si="0"/>
        <v>0.13432835820895522</v>
      </c>
      <c r="G9" s="73">
        <f t="shared" si="0"/>
        <v>5.9701492537313432E-2</v>
      </c>
      <c r="H9" s="73">
        <f t="shared" si="0"/>
        <v>0.11940298507462686</v>
      </c>
      <c r="I9" s="73">
        <f t="shared" si="0"/>
        <v>0.13432835820895522</v>
      </c>
      <c r="J9" s="73">
        <f t="shared" si="0"/>
        <v>7.4626865671641784E-2</v>
      </c>
      <c r="K9" s="73">
        <f t="shared" si="0"/>
        <v>0.13432835820895522</v>
      </c>
      <c r="L9" s="73">
        <f t="shared" si="0"/>
        <v>0.11940298507462686</v>
      </c>
      <c r="M9">
        <f>SUM(D9:L9)</f>
        <v>0.99999999999999989</v>
      </c>
    </row>
    <row r="11" spans="2:13" x14ac:dyDescent="0.2">
      <c r="B11" t="s">
        <v>88</v>
      </c>
      <c r="D11" s="73">
        <f>SQRT(SUMSQ(D4:D7))</f>
        <v>59.033888572581766</v>
      </c>
      <c r="E11" s="73">
        <f t="shared" ref="E11:L11" si="1">SQRT(SUMSQ(E4:E7))</f>
        <v>28.513154858766505</v>
      </c>
      <c r="F11" s="73">
        <f t="shared" si="1"/>
        <v>41.997142759954514</v>
      </c>
      <c r="G11" s="73">
        <f t="shared" si="1"/>
        <v>2603.0799065722126</v>
      </c>
      <c r="H11" s="73">
        <f t="shared" si="1"/>
        <v>50.296986987293785</v>
      </c>
      <c r="I11" s="73">
        <f t="shared" si="1"/>
        <v>15.609612423119287</v>
      </c>
      <c r="J11" s="73">
        <f t="shared" si="1"/>
        <v>9.9498743710661994</v>
      </c>
      <c r="K11" s="73">
        <f t="shared" si="1"/>
        <v>32.155870381627054</v>
      </c>
      <c r="L11" s="73">
        <f t="shared" si="1"/>
        <v>893.35996104593812</v>
      </c>
    </row>
    <row r="13" spans="2:13" ht="32" x14ac:dyDescent="0.2">
      <c r="B13" s="74" t="s">
        <v>89</v>
      </c>
      <c r="D13" s="73">
        <f>D4/D$11</f>
        <v>0.54206153065211382</v>
      </c>
      <c r="E13" s="73">
        <f t="shared" ref="E13:L13" si="2">E4/E$11</f>
        <v>0.52607296787392077</v>
      </c>
      <c r="F13" s="73">
        <f t="shared" si="2"/>
        <v>0.50003401707661177</v>
      </c>
      <c r="G13" s="73">
        <f t="shared" si="2"/>
        <v>0.30732825295918631</v>
      </c>
      <c r="H13" s="73">
        <f t="shared" si="2"/>
        <v>0.48710671289692326</v>
      </c>
      <c r="I13" s="73">
        <f t="shared" si="2"/>
        <v>0.48687948130881797</v>
      </c>
      <c r="J13" s="73">
        <f t="shared" si="2"/>
        <v>0.50251890762960605</v>
      </c>
      <c r="K13" s="73">
        <f t="shared" si="2"/>
        <v>0.55977337221401058</v>
      </c>
      <c r="L13" s="73">
        <f t="shared" si="2"/>
        <v>0.66445780635279228</v>
      </c>
    </row>
    <row r="14" spans="2:13" x14ac:dyDescent="0.2">
      <c r="D14" s="73">
        <f t="shared" ref="D14:L16" si="3">D5/D$11</f>
        <v>0.45736441648772097</v>
      </c>
      <c r="E14" s="73">
        <f t="shared" si="3"/>
        <v>0.49100143668232604</v>
      </c>
      <c r="F14" s="73">
        <f t="shared" si="3"/>
        <v>0.54765630441724156</v>
      </c>
      <c r="G14" s="73">
        <f t="shared" si="3"/>
        <v>3.8416031619898289E-2</v>
      </c>
      <c r="H14" s="73">
        <f t="shared" si="3"/>
        <v>0.54675243284348529</v>
      </c>
      <c r="I14" s="73">
        <f t="shared" si="3"/>
        <v>0.52531733509635614</v>
      </c>
      <c r="J14" s="73">
        <f t="shared" si="3"/>
        <v>0.70352647068144847</v>
      </c>
      <c r="K14" s="73">
        <f t="shared" si="3"/>
        <v>0.46647781017834217</v>
      </c>
      <c r="L14" s="73">
        <f t="shared" si="3"/>
        <v>0.29070029027934663</v>
      </c>
    </row>
    <row r="15" spans="2:13" x14ac:dyDescent="0.2">
      <c r="D15" s="73">
        <f t="shared" si="3"/>
        <v>0.40654614798908534</v>
      </c>
      <c r="E15" s="73">
        <f t="shared" si="3"/>
        <v>0.49100143668232604</v>
      </c>
      <c r="F15" s="73">
        <f t="shared" si="3"/>
        <v>0.52384516074692666</v>
      </c>
      <c r="G15" s="73">
        <f t="shared" si="3"/>
        <v>7.6832063239796579E-3</v>
      </c>
      <c r="H15" s="73">
        <f t="shared" si="3"/>
        <v>0.50698861954577734</v>
      </c>
      <c r="I15" s="73">
        <f t="shared" si="3"/>
        <v>0.50609840820258711</v>
      </c>
      <c r="J15" s="73">
        <f t="shared" si="3"/>
        <v>0.40201512610368484</v>
      </c>
      <c r="K15" s="73">
        <f t="shared" si="3"/>
        <v>0.43537928949978605</v>
      </c>
      <c r="L15" s="73">
        <f t="shared" si="3"/>
        <v>0.57636341726929363</v>
      </c>
    </row>
    <row r="16" spans="2:13" x14ac:dyDescent="0.2">
      <c r="D16" s="73">
        <f t="shared" si="3"/>
        <v>0.57594037631787087</v>
      </c>
      <c r="E16" s="73">
        <f t="shared" si="3"/>
        <v>0.49100143668232604</v>
      </c>
      <c r="F16" s="73">
        <f t="shared" si="3"/>
        <v>0.4190761285975414</v>
      </c>
      <c r="G16" s="73">
        <f t="shared" si="3"/>
        <v>0.95079678259248257</v>
      </c>
      <c r="H16" s="73">
        <f t="shared" si="3"/>
        <v>0.45469920505929129</v>
      </c>
      <c r="I16" s="73">
        <f t="shared" si="3"/>
        <v>0.48047317234422826</v>
      </c>
      <c r="J16" s="73">
        <f t="shared" si="3"/>
        <v>0.30151134457776363</v>
      </c>
      <c r="K16" s="73">
        <f t="shared" si="3"/>
        <v>0.52867485153545446</v>
      </c>
      <c r="L16" s="73">
        <f t="shared" si="3"/>
        <v>0.37655594012311205</v>
      </c>
    </row>
    <row r="18" spans="2:13" ht="48" x14ac:dyDescent="0.2">
      <c r="B18" s="74" t="s">
        <v>90</v>
      </c>
      <c r="D18">
        <f>D13*D$9</f>
        <v>4.8542823640487801E-2</v>
      </c>
      <c r="E18">
        <f t="shared" ref="E18:L18" si="4">E13*E$9</f>
        <v>7.0666518072616216E-2</v>
      </c>
      <c r="F18">
        <f t="shared" si="4"/>
        <v>6.716874856252994E-2</v>
      </c>
      <c r="G18">
        <f t="shared" si="4"/>
        <v>1.8347955400548437E-2</v>
      </c>
      <c r="H18">
        <f t="shared" si="4"/>
        <v>5.8161995569781882E-2</v>
      </c>
      <c r="I18">
        <f t="shared" si="4"/>
        <v>6.5401721369841223E-2</v>
      </c>
      <c r="J18">
        <f t="shared" si="4"/>
        <v>3.7501411017134778E-2</v>
      </c>
      <c r="K18">
        <f t="shared" si="4"/>
        <v>7.5193438058598433E-2</v>
      </c>
      <c r="L18">
        <f t="shared" si="4"/>
        <v>7.9338245534661761E-2</v>
      </c>
    </row>
    <row r="19" spans="2:13" x14ac:dyDescent="0.2">
      <c r="B19" s="74"/>
      <c r="D19">
        <f t="shared" ref="D19:L21" si="5">D14*D$9</f>
        <v>4.095800744666158E-2</v>
      </c>
      <c r="E19">
        <f t="shared" si="5"/>
        <v>6.5955416867775146E-2</v>
      </c>
      <c r="F19">
        <f t="shared" si="5"/>
        <v>7.3565772235151844E-2</v>
      </c>
      <c r="G19">
        <f t="shared" si="5"/>
        <v>2.2934944250685547E-3</v>
      </c>
      <c r="H19">
        <f t="shared" si="5"/>
        <v>6.5283872578326602E-2</v>
      </c>
      <c r="I19">
        <f t="shared" si="5"/>
        <v>7.0565015162197098E-2</v>
      </c>
      <c r="J19">
        <f t="shared" si="5"/>
        <v>5.2501975423988684E-2</v>
      </c>
      <c r="K19">
        <f t="shared" si="5"/>
        <v>6.266119838216537E-2</v>
      </c>
      <c r="L19">
        <f t="shared" si="5"/>
        <v>3.4710482421414522E-2</v>
      </c>
    </row>
    <row r="20" spans="2:13" x14ac:dyDescent="0.2">
      <c r="D20">
        <f t="shared" si="5"/>
        <v>3.6407117730365847E-2</v>
      </c>
      <c r="E20">
        <f t="shared" si="5"/>
        <v>6.5955416867775146E-2</v>
      </c>
      <c r="F20">
        <f t="shared" si="5"/>
        <v>7.0367260398840892E-2</v>
      </c>
      <c r="G20">
        <f t="shared" si="5"/>
        <v>4.5869888501371092E-4</v>
      </c>
      <c r="H20">
        <f t="shared" si="5"/>
        <v>6.0535954572630127E-2</v>
      </c>
      <c r="I20">
        <f t="shared" si="5"/>
        <v>6.7983368266019167E-2</v>
      </c>
      <c r="J20">
        <f t="shared" si="5"/>
        <v>3.0001128813707822E-2</v>
      </c>
      <c r="K20">
        <f t="shared" si="5"/>
        <v>5.848378515668768E-2</v>
      </c>
      <c r="L20">
        <f t="shared" si="5"/>
        <v>6.8819512509766409E-2</v>
      </c>
    </row>
    <row r="21" spans="2:13" x14ac:dyDescent="0.2">
      <c r="D21">
        <f t="shared" si="5"/>
        <v>5.1576750118018287E-2</v>
      </c>
      <c r="E21">
        <f t="shared" si="5"/>
        <v>6.5955416867775146E-2</v>
      </c>
      <c r="F21">
        <f t="shared" si="5"/>
        <v>5.6293808319072727E-2</v>
      </c>
      <c r="G21">
        <f t="shared" si="5"/>
        <v>5.6763987020446723E-2</v>
      </c>
      <c r="H21">
        <f t="shared" si="5"/>
        <v>5.4292442395139258E-2</v>
      </c>
      <c r="I21">
        <f t="shared" si="5"/>
        <v>6.4541172404448566E-2</v>
      </c>
      <c r="J21">
        <f t="shared" si="5"/>
        <v>2.2500846610280865E-2</v>
      </c>
      <c r="K21">
        <f t="shared" si="5"/>
        <v>7.101602483312075E-2</v>
      </c>
      <c r="L21">
        <f t="shared" si="5"/>
        <v>4.4961903298282035E-2</v>
      </c>
    </row>
    <row r="23" spans="2:13" ht="32" x14ac:dyDescent="0.2">
      <c r="B23" s="74" t="s">
        <v>91</v>
      </c>
      <c r="D23" s="73">
        <f>D18-MAX(D$18:D$21)</f>
        <v>-3.0339264775304867E-3</v>
      </c>
      <c r="E23" s="73">
        <f>E18-MIN(E$18:E$21)</f>
        <v>4.71110120484107E-3</v>
      </c>
      <c r="F23" s="73">
        <f>F18-MAX(F$18:F$21)</f>
        <v>-6.3970236726219043E-3</v>
      </c>
      <c r="G23" s="73">
        <f>G18-MAX(G$18:G$21)</f>
        <v>-3.8416031619898289E-2</v>
      </c>
      <c r="H23" s="73">
        <f>H18-MAX(H$18:H$21)</f>
        <v>-7.1218770085447192E-3</v>
      </c>
      <c r="I23" s="73">
        <f>I18-MAX(I$18:I$21)</f>
        <v>-5.1632937923558747E-3</v>
      </c>
      <c r="J23" s="73">
        <f>J18-MIN(J$18:J$21)</f>
        <v>1.5000564406853913E-2</v>
      </c>
      <c r="K23" s="73">
        <f>K18-MIN(K$18:K$21)</f>
        <v>1.6709652901910753E-2</v>
      </c>
      <c r="L23" s="73">
        <f>L18-MIN(L$18:L$21)</f>
        <v>4.4627763113247239E-2</v>
      </c>
      <c r="M23" s="75">
        <f>SQRT(SUMSQ(D23:L23))</f>
        <v>6.4197819197789427E-2</v>
      </c>
    </row>
    <row r="24" spans="2:13" x14ac:dyDescent="0.2">
      <c r="B24" s="74"/>
      <c r="D24" s="73">
        <f t="shared" ref="D24:D26" si="6">D19-MAX(D$18:D$21)</f>
        <v>-1.0618742671356707E-2</v>
      </c>
      <c r="E24" s="73">
        <f t="shared" ref="E24:E26" si="7">E19-MIN(E$18:E$21)</f>
        <v>0</v>
      </c>
      <c r="F24" s="73">
        <f t="shared" ref="F24:G26" si="8">F19-MAX(F$18:F$21)</f>
        <v>0</v>
      </c>
      <c r="G24" s="73">
        <f t="shared" si="8"/>
        <v>-5.4470492595378166E-2</v>
      </c>
      <c r="H24" s="73">
        <f t="shared" ref="H24:I26" si="9">H19-MAX(H$18:H$21)</f>
        <v>0</v>
      </c>
      <c r="I24" s="73">
        <f t="shared" si="9"/>
        <v>0</v>
      </c>
      <c r="J24" s="73">
        <f t="shared" ref="J24:L26" si="10">J19-MIN(J$18:J$21)</f>
        <v>3.0001128813707818E-2</v>
      </c>
      <c r="K24" s="73">
        <f t="shared" si="10"/>
        <v>4.17741322547769E-3</v>
      </c>
      <c r="L24" s="73">
        <f t="shared" si="10"/>
        <v>0</v>
      </c>
      <c r="M24" s="75">
        <f>SQRT(SUMSQ(D24:L24))</f>
        <v>6.3224289405708026E-2</v>
      </c>
    </row>
    <row r="25" spans="2:13" x14ac:dyDescent="0.2">
      <c r="D25" s="73">
        <f t="shared" si="6"/>
        <v>-1.516963238765244E-2</v>
      </c>
      <c r="E25" s="73">
        <f t="shared" si="7"/>
        <v>0</v>
      </c>
      <c r="F25" s="73">
        <f t="shared" si="8"/>
        <v>-3.1985118363109521E-3</v>
      </c>
      <c r="G25" s="73">
        <f t="shared" si="8"/>
        <v>-5.6305288135433014E-2</v>
      </c>
      <c r="H25" s="73">
        <f t="shared" si="9"/>
        <v>-4.7479180056964748E-3</v>
      </c>
      <c r="I25" s="73">
        <f t="shared" si="9"/>
        <v>-2.5816468961779304E-3</v>
      </c>
      <c r="J25" s="73">
        <f t="shared" si="10"/>
        <v>7.5002822034269563E-3</v>
      </c>
      <c r="K25" s="73">
        <f t="shared" si="10"/>
        <v>0</v>
      </c>
      <c r="L25" s="73">
        <f t="shared" si="10"/>
        <v>3.4109030088351887E-2</v>
      </c>
      <c r="M25" s="75">
        <f>SQRT(SUMSQ(D25:L25))</f>
        <v>6.8260687731242262E-2</v>
      </c>
    </row>
    <row r="26" spans="2:13" x14ac:dyDescent="0.2">
      <c r="D26" s="73">
        <f t="shared" si="6"/>
        <v>0</v>
      </c>
      <c r="E26" s="73">
        <f t="shared" si="7"/>
        <v>0</v>
      </c>
      <c r="F26" s="73">
        <f>F21-MAX(F$18:F$21)</f>
        <v>-1.7271963916079117E-2</v>
      </c>
      <c r="G26" s="73">
        <f t="shared" si="8"/>
        <v>0</v>
      </c>
      <c r="H26" s="73">
        <f t="shared" si="9"/>
        <v>-1.0991430183187344E-2</v>
      </c>
      <c r="I26" s="73">
        <f t="shared" si="9"/>
        <v>-6.0238427577485321E-3</v>
      </c>
      <c r="J26" s="73">
        <f t="shared" si="10"/>
        <v>0</v>
      </c>
      <c r="K26" s="73">
        <f t="shared" si="10"/>
        <v>1.253223967643307E-2</v>
      </c>
      <c r="L26" s="73">
        <f t="shared" si="10"/>
        <v>1.0251420876867513E-2</v>
      </c>
      <c r="M26" s="75">
        <f>SQRT(SUMSQ(D26:L26))</f>
        <v>2.6787452619884158E-2</v>
      </c>
    </row>
    <row r="28" spans="2:13" ht="16" x14ac:dyDescent="0.2">
      <c r="B28" s="74" t="s">
        <v>92</v>
      </c>
      <c r="D28" s="73">
        <f>D18-MIN(D$18:D$21)</f>
        <v>1.2135705910121954E-2</v>
      </c>
      <c r="E28" s="73">
        <f>E18-MAX(E$18:E$21)</f>
        <v>0</v>
      </c>
      <c r="F28" s="73">
        <f>F18-MIN(F$18:F$21)</f>
        <v>1.0874940243457212E-2</v>
      </c>
      <c r="G28" s="73">
        <f>G18-MIN(G$18:G$21)</f>
        <v>1.7889256515534725E-2</v>
      </c>
      <c r="H28" s="73">
        <f>H18-MIN(H$18:H$21)</f>
        <v>3.8695531746426245E-3</v>
      </c>
      <c r="I28" s="73">
        <f>I18-MIN(I$18:I$21)</f>
        <v>8.6054896539265735E-4</v>
      </c>
      <c r="J28" s="73">
        <f>J18-MAX(J$18:J$21)</f>
        <v>-1.5000564406853906E-2</v>
      </c>
      <c r="K28" s="73">
        <f>K18-MAX(K$18:K$21)</f>
        <v>0</v>
      </c>
      <c r="L28" s="73">
        <f>L18-MAX(L$18:L$21)</f>
        <v>0</v>
      </c>
      <c r="M28" s="75">
        <f>SQRT(SUMSQ(D28:L28))</f>
        <v>2.8745366595883469E-2</v>
      </c>
    </row>
    <row r="29" spans="2:13" x14ac:dyDescent="0.2">
      <c r="D29" s="73">
        <f t="shared" ref="D29:D31" si="11">D19-MIN(D$18:D$21)</f>
        <v>4.5508897162957335E-3</v>
      </c>
      <c r="E29" s="73">
        <f t="shared" ref="E29:E31" si="12">E19-MAX(E$18:E$21)</f>
        <v>-4.71110120484107E-3</v>
      </c>
      <c r="F29" s="73">
        <f t="shared" ref="F29:G31" si="13">F19-MIN(F$18:F$21)</f>
        <v>1.7271963916079117E-2</v>
      </c>
      <c r="G29" s="73">
        <f t="shared" si="13"/>
        <v>1.8347955400548437E-3</v>
      </c>
      <c r="H29" s="73">
        <f t="shared" ref="H29:I31" si="14">H19-MIN(H$18:H$21)</f>
        <v>1.0991430183187344E-2</v>
      </c>
      <c r="I29" s="73">
        <f t="shared" si="14"/>
        <v>6.0238427577485321E-3</v>
      </c>
      <c r="J29" s="73">
        <f t="shared" ref="J29:L31" si="15">J19-MAX(J$18:J$21)</f>
        <v>0</v>
      </c>
      <c r="K29" s="73">
        <f t="shared" si="15"/>
        <v>-1.2532239676433063E-2</v>
      </c>
      <c r="L29" s="73">
        <f t="shared" si="15"/>
        <v>-4.4627763113247239E-2</v>
      </c>
      <c r="M29" s="75">
        <f>SQRT(SUMSQ(D29:L29))</f>
        <v>5.1481887832575839E-2</v>
      </c>
    </row>
    <row r="30" spans="2:13" x14ac:dyDescent="0.2">
      <c r="D30" s="73">
        <f t="shared" si="11"/>
        <v>0</v>
      </c>
      <c r="E30" s="73">
        <f t="shared" si="12"/>
        <v>-4.71110120484107E-3</v>
      </c>
      <c r="F30" s="73">
        <f t="shared" si="13"/>
        <v>1.4073452079768164E-2</v>
      </c>
      <c r="G30" s="73">
        <f t="shared" si="13"/>
        <v>0</v>
      </c>
      <c r="H30" s="73">
        <f t="shared" si="14"/>
        <v>6.2435121774908689E-3</v>
      </c>
      <c r="I30" s="73">
        <f t="shared" si="14"/>
        <v>3.4421958615706016E-3</v>
      </c>
      <c r="J30" s="73">
        <f t="shared" si="15"/>
        <v>-2.2500846610280862E-2</v>
      </c>
      <c r="K30" s="73">
        <f t="shared" si="15"/>
        <v>-1.6709652901910753E-2</v>
      </c>
      <c r="L30" s="73">
        <f t="shared" si="15"/>
        <v>-1.0518733024895352E-2</v>
      </c>
      <c r="M30" s="75">
        <f>SQRT(SUMSQ(D30:L30))</f>
        <v>3.4164762949483826E-2</v>
      </c>
    </row>
    <row r="31" spans="2:13" x14ac:dyDescent="0.2">
      <c r="D31" s="73">
        <f t="shared" si="11"/>
        <v>1.516963238765244E-2</v>
      </c>
      <c r="E31" s="73">
        <f t="shared" si="12"/>
        <v>-4.71110120484107E-3</v>
      </c>
      <c r="F31" s="73">
        <f t="shared" si="13"/>
        <v>0</v>
      </c>
      <c r="G31" s="73">
        <f t="shared" si="13"/>
        <v>5.6305288135433014E-2</v>
      </c>
      <c r="H31" s="73">
        <f t="shared" si="14"/>
        <v>0</v>
      </c>
      <c r="I31" s="73">
        <f t="shared" si="14"/>
        <v>0</v>
      </c>
      <c r="J31" s="73">
        <f t="shared" si="15"/>
        <v>-3.0001128813707818E-2</v>
      </c>
      <c r="K31" s="73">
        <f t="shared" si="15"/>
        <v>-4.177413225477683E-3</v>
      </c>
      <c r="L31" s="73">
        <f t="shared" si="15"/>
        <v>-3.4376342236379726E-2</v>
      </c>
      <c r="M31" s="75">
        <f>SQRT(SUMSQ(D31:L31))</f>
        <v>7.4309145535786464E-2</v>
      </c>
    </row>
    <row r="33" spans="12:14" ht="32" x14ac:dyDescent="0.2">
      <c r="L33" s="76"/>
      <c r="M33" s="77" t="s">
        <v>93</v>
      </c>
      <c r="N33" s="76" t="s">
        <v>94</v>
      </c>
    </row>
    <row r="34" spans="12:14" x14ac:dyDescent="0.2">
      <c r="L34" t="s">
        <v>27</v>
      </c>
      <c r="M34" s="76">
        <f>M23/(M23+M28)</f>
        <v>0.69072109643738611</v>
      </c>
      <c r="N34" s="76">
        <v>1</v>
      </c>
    </row>
    <row r="35" spans="12:14" x14ac:dyDescent="0.2">
      <c r="L35" t="s">
        <v>37</v>
      </c>
      <c r="M35" s="76">
        <f t="shared" ref="M35:M37" si="16">M24/(M24+M29)</f>
        <v>0.55118469578468832</v>
      </c>
      <c r="N35" s="76">
        <v>3</v>
      </c>
    </row>
    <row r="36" spans="12:14" x14ac:dyDescent="0.2">
      <c r="L36" t="s">
        <v>46</v>
      </c>
      <c r="M36" s="76">
        <f t="shared" si="16"/>
        <v>0.6664426397694847</v>
      </c>
      <c r="N36" s="76">
        <v>2</v>
      </c>
    </row>
    <row r="37" spans="12:14" x14ac:dyDescent="0.2">
      <c r="L37" t="s">
        <v>50</v>
      </c>
      <c r="M37" s="76">
        <f t="shared" si="16"/>
        <v>0.26496888232219529</v>
      </c>
      <c r="N37" s="76">
        <v>4</v>
      </c>
    </row>
  </sheetData>
  <conditionalFormatting sqref="D18:D2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8:E2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:F21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8:G2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8:H21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8:I2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J18:J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8:K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8:L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34:M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730C5-217F-419C-A857-93263368A021}">
  <dimension ref="B1:Q37"/>
  <sheetViews>
    <sheetView workbookViewId="0">
      <selection activeCell="Q38" sqref="Q38"/>
    </sheetView>
  </sheetViews>
  <sheetFormatPr baseColWidth="10" defaultColWidth="8.83203125" defaultRowHeight="15" x14ac:dyDescent="0.2"/>
  <cols>
    <col min="2" max="2" width="17.1640625" bestFit="1" customWidth="1"/>
    <col min="15" max="15" width="15.5" bestFit="1" customWidth="1"/>
  </cols>
  <sheetData>
    <row r="1" spans="2:16" x14ac:dyDescent="0.2">
      <c r="D1" t="s">
        <v>0</v>
      </c>
      <c r="E1" t="s">
        <v>1</v>
      </c>
      <c r="F1" t="s">
        <v>1</v>
      </c>
      <c r="G1" t="s">
        <v>0</v>
      </c>
      <c r="H1" t="s">
        <v>0</v>
      </c>
      <c r="I1" t="s">
        <v>1</v>
      </c>
      <c r="J1" t="s">
        <v>0</v>
      </c>
      <c r="K1" t="s">
        <v>0</v>
      </c>
      <c r="L1" t="s">
        <v>2</v>
      </c>
      <c r="M1" t="s">
        <v>2</v>
      </c>
      <c r="N1" t="s">
        <v>2</v>
      </c>
      <c r="O1" t="s">
        <v>2</v>
      </c>
    </row>
    <row r="2" spans="2:16" ht="16" x14ac:dyDescent="0.2">
      <c r="B2" s="1" t="s">
        <v>3</v>
      </c>
      <c r="C2" s="1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3" t="s">
        <v>14</v>
      </c>
      <c r="M2" s="3" t="s">
        <v>16</v>
      </c>
      <c r="N2" s="3" t="s">
        <v>17</v>
      </c>
      <c r="O2" s="3" t="s">
        <v>18</v>
      </c>
    </row>
    <row r="3" spans="2:16" ht="16" x14ac:dyDescent="0.2">
      <c r="B3" s="1" t="s">
        <v>86</v>
      </c>
      <c r="C3" s="1"/>
      <c r="D3" s="2">
        <v>6</v>
      </c>
      <c r="E3" s="2">
        <v>8</v>
      </c>
      <c r="F3" s="2">
        <v>8</v>
      </c>
      <c r="G3" s="2">
        <v>8</v>
      </c>
      <c r="H3" s="2">
        <v>4</v>
      </c>
      <c r="I3" s="2">
        <v>7</v>
      </c>
      <c r="J3" s="2">
        <v>7</v>
      </c>
      <c r="K3" s="2">
        <v>6</v>
      </c>
      <c r="L3" s="3">
        <v>5</v>
      </c>
      <c r="M3" s="3">
        <v>7</v>
      </c>
      <c r="N3" s="3">
        <v>7</v>
      </c>
      <c r="O3" s="3">
        <v>8</v>
      </c>
    </row>
    <row r="4" spans="2:16" x14ac:dyDescent="0.2">
      <c r="B4" t="s">
        <v>24</v>
      </c>
      <c r="C4" t="s">
        <v>26</v>
      </c>
      <c r="D4">
        <v>29</v>
      </c>
      <c r="E4">
        <v>15</v>
      </c>
      <c r="F4">
        <v>185</v>
      </c>
      <c r="G4">
        <v>16.75</v>
      </c>
      <c r="H4">
        <v>1200</v>
      </c>
      <c r="I4">
        <v>31.71</v>
      </c>
      <c r="J4">
        <v>26.85</v>
      </c>
      <c r="K4">
        <v>9.25</v>
      </c>
      <c r="L4">
        <v>9</v>
      </c>
      <c r="M4">
        <v>222</v>
      </c>
      <c r="N4">
        <v>16</v>
      </c>
      <c r="O4">
        <v>728.9</v>
      </c>
    </row>
    <row r="5" spans="2:16" x14ac:dyDescent="0.2">
      <c r="B5" t="s">
        <v>31</v>
      </c>
      <c r="C5" t="s">
        <v>21</v>
      </c>
      <c r="D5">
        <v>27</v>
      </c>
      <c r="E5">
        <v>15</v>
      </c>
      <c r="F5">
        <v>158.80000000000001</v>
      </c>
      <c r="G5">
        <v>23</v>
      </c>
      <c r="H5">
        <v>800</v>
      </c>
      <c r="I5">
        <v>46.25</v>
      </c>
      <c r="J5">
        <v>37</v>
      </c>
      <c r="K5">
        <v>8.9</v>
      </c>
      <c r="L5">
        <v>13</v>
      </c>
      <c r="M5">
        <v>370</v>
      </c>
      <c r="N5">
        <v>4</v>
      </c>
      <c r="O5">
        <v>363.1</v>
      </c>
    </row>
    <row r="6" spans="2:16" x14ac:dyDescent="0.2">
      <c r="B6" t="s">
        <v>32</v>
      </c>
      <c r="C6" t="s">
        <v>26</v>
      </c>
      <c r="D6">
        <v>21</v>
      </c>
      <c r="E6">
        <v>10</v>
      </c>
      <c r="F6">
        <v>150</v>
      </c>
      <c r="G6">
        <v>18</v>
      </c>
      <c r="H6">
        <v>600</v>
      </c>
      <c r="I6">
        <v>34.86</v>
      </c>
      <c r="J6">
        <v>23.31</v>
      </c>
      <c r="K6">
        <v>7.75</v>
      </c>
      <c r="L6">
        <v>14</v>
      </c>
      <c r="M6">
        <v>488</v>
      </c>
      <c r="N6">
        <v>20</v>
      </c>
      <c r="O6">
        <v>1115.2</v>
      </c>
    </row>
    <row r="7" spans="2:16" x14ac:dyDescent="0.2">
      <c r="B7" t="s">
        <v>52</v>
      </c>
      <c r="C7" t="s">
        <v>21</v>
      </c>
      <c r="D7">
        <v>28</v>
      </c>
      <c r="E7">
        <v>12</v>
      </c>
      <c r="F7">
        <v>201.61</v>
      </c>
      <c r="G7">
        <v>22.5</v>
      </c>
      <c r="H7">
        <v>20</v>
      </c>
      <c r="I7">
        <v>20</v>
      </c>
      <c r="J7">
        <v>36.5</v>
      </c>
      <c r="K7">
        <v>9.1999999999999993</v>
      </c>
      <c r="L7">
        <v>5</v>
      </c>
      <c r="M7">
        <v>120</v>
      </c>
      <c r="N7">
        <v>6</v>
      </c>
      <c r="O7">
        <v>173.9</v>
      </c>
    </row>
    <row r="9" spans="2:16" x14ac:dyDescent="0.2">
      <c r="B9" t="s">
        <v>87</v>
      </c>
      <c r="D9" s="73">
        <f>D3/SUM($D$3:$O$3)</f>
        <v>7.407407407407407E-2</v>
      </c>
      <c r="E9" s="73">
        <f t="shared" ref="E9:O9" si="0">E3/SUM($D$3:$O$3)</f>
        <v>9.8765432098765427E-2</v>
      </c>
      <c r="F9" s="73">
        <f t="shared" si="0"/>
        <v>9.8765432098765427E-2</v>
      </c>
      <c r="G9" s="73">
        <f t="shared" si="0"/>
        <v>9.8765432098765427E-2</v>
      </c>
      <c r="H9" s="73">
        <f t="shared" si="0"/>
        <v>4.9382716049382713E-2</v>
      </c>
      <c r="I9" s="73">
        <f t="shared" si="0"/>
        <v>8.6419753086419748E-2</v>
      </c>
      <c r="J9" s="73">
        <f t="shared" si="0"/>
        <v>8.6419753086419748E-2</v>
      </c>
      <c r="K9" s="73">
        <f t="shared" si="0"/>
        <v>7.407407407407407E-2</v>
      </c>
      <c r="L9" s="73">
        <f t="shared" si="0"/>
        <v>6.1728395061728392E-2</v>
      </c>
      <c r="M9" s="73">
        <f t="shared" si="0"/>
        <v>8.6419753086419748E-2</v>
      </c>
      <c r="N9" s="73">
        <f t="shared" si="0"/>
        <v>8.6419753086419748E-2</v>
      </c>
      <c r="O9" s="73">
        <f t="shared" si="0"/>
        <v>9.8765432098765427E-2</v>
      </c>
      <c r="P9">
        <f>SUM(D9:O9)</f>
        <v>0.99999999999999978</v>
      </c>
    </row>
    <row r="11" spans="2:16" x14ac:dyDescent="0.2">
      <c r="B11" t="s">
        <v>88</v>
      </c>
      <c r="D11" s="73">
        <f>SQRT(SUMSQ(D4:D7))</f>
        <v>52.867759551545213</v>
      </c>
      <c r="E11" s="73">
        <f t="shared" ref="E11:O11" si="1">SQRT(SUMSQ(E4:E7))</f>
        <v>26.343879744638983</v>
      </c>
      <c r="F11" s="73">
        <f t="shared" si="1"/>
        <v>350.12716561272424</v>
      </c>
      <c r="G11" s="73">
        <f t="shared" si="1"/>
        <v>40.494598405219428</v>
      </c>
      <c r="H11" s="73">
        <f t="shared" si="1"/>
        <v>1562.1779668142808</v>
      </c>
      <c r="I11" s="73">
        <f t="shared" si="1"/>
        <v>68.991348733011449</v>
      </c>
      <c r="J11" s="73">
        <f t="shared" si="1"/>
        <v>62.972443179536874</v>
      </c>
      <c r="K11" s="73">
        <f t="shared" si="1"/>
        <v>17.591901545881843</v>
      </c>
      <c r="L11" s="73">
        <f t="shared" si="1"/>
        <v>21.702534414210707</v>
      </c>
      <c r="M11" s="73">
        <f t="shared" si="1"/>
        <v>662.36545803657361</v>
      </c>
      <c r="N11" s="73">
        <f t="shared" si="1"/>
        <v>26.608269391300141</v>
      </c>
      <c r="O11" s="73">
        <f t="shared" si="1"/>
        <v>1391.7791024440623</v>
      </c>
    </row>
    <row r="13" spans="2:16" ht="32" x14ac:dyDescent="0.2">
      <c r="B13" s="74" t="s">
        <v>89</v>
      </c>
      <c r="D13" s="73">
        <f>D4/D$11</f>
        <v>0.5485384711967124</v>
      </c>
      <c r="E13" s="73">
        <f t="shared" ref="E13:O13" si="2">E4/E$11</f>
        <v>0.56939221350084246</v>
      </c>
      <c r="F13" s="73">
        <f t="shared" si="2"/>
        <v>0.5283794522948515</v>
      </c>
      <c r="G13" s="73">
        <f t="shared" si="2"/>
        <v>0.41363541459003728</v>
      </c>
      <c r="H13" s="73">
        <f t="shared" si="2"/>
        <v>0.76815831838105919</v>
      </c>
      <c r="I13" s="73">
        <f t="shared" si="2"/>
        <v>0.45962284521663777</v>
      </c>
      <c r="J13" s="73">
        <f t="shared" si="2"/>
        <v>0.42637697767973859</v>
      </c>
      <c r="K13" s="73">
        <f t="shared" si="2"/>
        <v>0.52581012779515979</v>
      </c>
      <c r="L13" s="73">
        <f t="shared" si="2"/>
        <v>0.41469810982568223</v>
      </c>
      <c r="M13" s="73">
        <f t="shared" si="2"/>
        <v>0.33516240514423368</v>
      </c>
      <c r="N13" s="73">
        <f t="shared" si="2"/>
        <v>0.60131682240226314</v>
      </c>
      <c r="O13" s="73">
        <f t="shared" si="2"/>
        <v>0.52371816671194449</v>
      </c>
    </row>
    <row r="14" spans="2:16" x14ac:dyDescent="0.2">
      <c r="D14" s="73">
        <f t="shared" ref="D14:O16" si="3">D5/D$11</f>
        <v>0.51070823180383562</v>
      </c>
      <c r="E14" s="73">
        <f t="shared" si="3"/>
        <v>0.56939221350084246</v>
      </c>
      <c r="F14" s="73">
        <f t="shared" si="3"/>
        <v>0.45354949742931039</v>
      </c>
      <c r="G14" s="73">
        <f t="shared" si="3"/>
        <v>0.56797698719826017</v>
      </c>
      <c r="H14" s="73">
        <f t="shared" si="3"/>
        <v>0.51210554558737276</v>
      </c>
      <c r="I14" s="73">
        <f t="shared" si="3"/>
        <v>0.67037390700944488</v>
      </c>
      <c r="J14" s="73">
        <f t="shared" si="3"/>
        <v>0.58755859121602705</v>
      </c>
      <c r="K14" s="73">
        <f t="shared" si="3"/>
        <v>0.50591460944615374</v>
      </c>
      <c r="L14" s="73">
        <f t="shared" si="3"/>
        <v>0.59900838085931885</v>
      </c>
      <c r="M14" s="73">
        <f t="shared" si="3"/>
        <v>0.55860400857372283</v>
      </c>
      <c r="N14" s="73">
        <f t="shared" si="3"/>
        <v>0.15032920560056579</v>
      </c>
      <c r="O14" s="73">
        <f t="shared" si="3"/>
        <v>0.2608891018426493</v>
      </c>
    </row>
    <row r="15" spans="2:16" x14ac:dyDescent="0.2">
      <c r="D15" s="73">
        <f t="shared" si="3"/>
        <v>0.39721751362520552</v>
      </c>
      <c r="E15" s="73">
        <f t="shared" si="3"/>
        <v>0.37959480900056169</v>
      </c>
      <c r="F15" s="73">
        <f t="shared" si="3"/>
        <v>0.42841577213096066</v>
      </c>
      <c r="G15" s="73">
        <f t="shared" si="3"/>
        <v>0.44450372911168184</v>
      </c>
      <c r="H15" s="73">
        <f t="shared" si="3"/>
        <v>0.3840791591905296</v>
      </c>
      <c r="I15" s="73">
        <f t="shared" si="3"/>
        <v>0.50528074374809184</v>
      </c>
      <c r="J15" s="73">
        <f t="shared" si="3"/>
        <v>0.37016191246609703</v>
      </c>
      <c r="K15" s="73">
        <f t="shared" si="3"/>
        <v>0.44054362058513385</v>
      </c>
      <c r="L15" s="73">
        <f t="shared" si="3"/>
        <v>0.64508594861772794</v>
      </c>
      <c r="M15" s="73">
        <f t="shared" si="3"/>
        <v>0.73675339509182902</v>
      </c>
      <c r="N15" s="73">
        <f t="shared" si="3"/>
        <v>0.75164602800282887</v>
      </c>
      <c r="O15" s="73">
        <f t="shared" si="3"/>
        <v>0.80127658048725559</v>
      </c>
    </row>
    <row r="16" spans="2:16" x14ac:dyDescent="0.2">
      <c r="D16" s="73">
        <f t="shared" si="3"/>
        <v>0.52962335150027406</v>
      </c>
      <c r="E16" s="73">
        <f t="shared" si="3"/>
        <v>0.45551377080067401</v>
      </c>
      <c r="F16" s="73">
        <f t="shared" si="3"/>
        <v>0.57581935879548662</v>
      </c>
      <c r="G16" s="73">
        <f t="shared" si="3"/>
        <v>0.55562966138960235</v>
      </c>
      <c r="H16" s="73">
        <f t="shared" si="3"/>
        <v>1.2802638639684319E-2</v>
      </c>
      <c r="I16" s="73">
        <f t="shared" si="3"/>
        <v>0.28989141924732753</v>
      </c>
      <c r="J16" s="73">
        <f t="shared" si="3"/>
        <v>0.57961861025364836</v>
      </c>
      <c r="K16" s="73">
        <f t="shared" si="3"/>
        <v>0.52296791088815886</v>
      </c>
      <c r="L16" s="73">
        <f t="shared" si="3"/>
        <v>0.23038783879204569</v>
      </c>
      <c r="M16" s="73">
        <f t="shared" si="3"/>
        <v>0.18116886764553172</v>
      </c>
      <c r="N16" s="73">
        <f t="shared" si="3"/>
        <v>0.22549380840084865</v>
      </c>
      <c r="O16" s="73">
        <f t="shared" si="3"/>
        <v>0.12494798901249439</v>
      </c>
    </row>
    <row r="18" spans="2:16" ht="48" x14ac:dyDescent="0.2">
      <c r="B18" s="74" t="s">
        <v>90</v>
      </c>
      <c r="D18">
        <f>D13*D$9</f>
        <v>4.0632479347904621E-2</v>
      </c>
      <c r="E18">
        <f t="shared" ref="E18:O18" si="4">E13*E$9</f>
        <v>5.6236268000083203E-2</v>
      </c>
      <c r="F18">
        <f t="shared" si="4"/>
        <v>5.2185624918010022E-2</v>
      </c>
      <c r="G18">
        <f t="shared" si="4"/>
        <v>4.0852880453337015E-2</v>
      </c>
      <c r="H18">
        <f t="shared" si="4"/>
        <v>3.7933744117583171E-2</v>
      </c>
      <c r="I18">
        <f t="shared" si="4"/>
        <v>3.9720492796499557E-2</v>
      </c>
      <c r="J18">
        <f t="shared" si="4"/>
        <v>3.6847393132816916E-2</v>
      </c>
      <c r="K18">
        <f t="shared" si="4"/>
        <v>3.894889835519702E-2</v>
      </c>
      <c r="L18">
        <f t="shared" si="4"/>
        <v>2.559864875467174E-2</v>
      </c>
      <c r="M18">
        <f t="shared" si="4"/>
        <v>2.8964652296415254E-2</v>
      </c>
      <c r="N18">
        <f t="shared" si="4"/>
        <v>5.1965651318714098E-2</v>
      </c>
      <c r="O18">
        <f t="shared" si="4"/>
        <v>5.1725251033278463E-2</v>
      </c>
    </row>
    <row r="19" spans="2:16" x14ac:dyDescent="0.2">
      <c r="B19" s="74"/>
      <c r="D19">
        <f t="shared" ref="D19:O21" si="5">D14*D$9</f>
        <v>3.7830239392876712E-2</v>
      </c>
      <c r="E19">
        <f t="shared" si="5"/>
        <v>5.6236268000083203E-2</v>
      </c>
      <c r="F19">
        <f t="shared" si="5"/>
        <v>4.4795012091783742E-2</v>
      </c>
      <c r="G19">
        <f t="shared" si="5"/>
        <v>5.6096492562791124E-2</v>
      </c>
      <c r="H19">
        <f t="shared" si="5"/>
        <v>2.5289162745055445E-2</v>
      </c>
      <c r="I19">
        <f t="shared" si="5"/>
        <v>5.7933547519334737E-2</v>
      </c>
      <c r="J19">
        <f t="shared" si="5"/>
        <v>5.0776668376693694E-2</v>
      </c>
      <c r="K19">
        <f t="shared" si="5"/>
        <v>3.7475156255270647E-2</v>
      </c>
      <c r="L19">
        <f t="shared" si="5"/>
        <v>3.6975825978970298E-2</v>
      </c>
      <c r="M19">
        <f t="shared" si="5"/>
        <v>4.827442049402543E-2</v>
      </c>
      <c r="N19">
        <f t="shared" si="5"/>
        <v>1.2991412829678525E-2</v>
      </c>
      <c r="O19">
        <f t="shared" si="5"/>
        <v>2.5766824873348079E-2</v>
      </c>
    </row>
    <row r="20" spans="2:16" x14ac:dyDescent="0.2">
      <c r="D20">
        <f t="shared" si="5"/>
        <v>2.9423519527792999E-2</v>
      </c>
      <c r="E20">
        <f t="shared" si="5"/>
        <v>3.7490845333388804E-2</v>
      </c>
      <c r="F20">
        <f t="shared" si="5"/>
        <v>4.2312668852440553E-2</v>
      </c>
      <c r="G20">
        <f t="shared" si="5"/>
        <v>4.3901602875227833E-2</v>
      </c>
      <c r="H20">
        <f t="shared" si="5"/>
        <v>1.8966872058791585E-2</v>
      </c>
      <c r="I20">
        <f t="shared" si="5"/>
        <v>4.3666237114032627E-2</v>
      </c>
      <c r="J20">
        <f t="shared" si="5"/>
        <v>3.1989301077317026E-2</v>
      </c>
      <c r="K20">
        <f t="shared" si="5"/>
        <v>3.2632860784083985E-2</v>
      </c>
      <c r="L20">
        <f t="shared" si="5"/>
        <v>3.9820120285044933E-2</v>
      </c>
      <c r="M20">
        <f t="shared" si="5"/>
        <v>6.367004648941732E-2</v>
      </c>
      <c r="N20">
        <f t="shared" si="5"/>
        <v>6.4957064148392613E-2</v>
      </c>
      <c r="O20">
        <f t="shared" si="5"/>
        <v>7.9138427702444988E-2</v>
      </c>
    </row>
    <row r="21" spans="2:16" x14ac:dyDescent="0.2">
      <c r="D21">
        <f t="shared" si="5"/>
        <v>3.923135937039067E-2</v>
      </c>
      <c r="E21">
        <f t="shared" si="5"/>
        <v>4.4989014400066564E-2</v>
      </c>
      <c r="F21">
        <f t="shared" si="5"/>
        <v>5.6871047782270277E-2</v>
      </c>
      <c r="G21">
        <f t="shared" si="5"/>
        <v>5.4877003594034794E-2</v>
      </c>
      <c r="H21">
        <f t="shared" si="5"/>
        <v>6.3222906862638614E-4</v>
      </c>
      <c r="I21">
        <f t="shared" si="5"/>
        <v>2.5052344873225836E-2</v>
      </c>
      <c r="J21">
        <f t="shared" si="5"/>
        <v>5.0090497182414054E-2</v>
      </c>
      <c r="K21">
        <f t="shared" si="5"/>
        <v>3.8738363769493245E-2</v>
      </c>
      <c r="L21">
        <f t="shared" si="5"/>
        <v>1.4221471530373189E-2</v>
      </c>
      <c r="M21">
        <f t="shared" si="5"/>
        <v>1.565656880887311E-2</v>
      </c>
      <c r="N21">
        <f t="shared" si="5"/>
        <v>1.9487119244517785E-2</v>
      </c>
      <c r="O21">
        <f t="shared" si="5"/>
        <v>1.2340542124690804E-2</v>
      </c>
    </row>
    <row r="23" spans="2:16" ht="32" x14ac:dyDescent="0.2">
      <c r="B23" s="74" t="s">
        <v>91</v>
      </c>
      <c r="D23" s="73">
        <f>D18-MAX(D$18:D$21)</f>
        <v>0</v>
      </c>
      <c r="E23" s="73">
        <f>E18-MIN(E$18:E$21)</f>
        <v>1.8745422666694399E-2</v>
      </c>
      <c r="F23" s="73">
        <f>F18-MIN(F$18:F$21)</f>
        <v>9.8729560655694687E-3</v>
      </c>
      <c r="G23" s="73">
        <f>G18-MAX(G$18:G$21)</f>
        <v>-1.5243612109454109E-2</v>
      </c>
      <c r="H23" s="73">
        <f>H18-MAX(H$18:H$21)</f>
        <v>0</v>
      </c>
      <c r="I23" s="73">
        <f>I18-MIN(I$18:I$21)</f>
        <v>1.4668147923273721E-2</v>
      </c>
      <c r="J23" s="73">
        <f>J18-MAX(J$18:J$21)</f>
        <v>-1.3929275243876778E-2</v>
      </c>
      <c r="K23" s="73">
        <f>K18-MAX(K$18:K$21)</f>
        <v>0</v>
      </c>
      <c r="L23" s="73">
        <f>L18-MIN(L$18:L$21)</f>
        <v>1.1377177224298551E-2</v>
      </c>
      <c r="M23" s="73">
        <f>M18-MIN(M$18:M$21)</f>
        <v>1.3308083487542144E-2</v>
      </c>
      <c r="N23" s="73">
        <f>N18-MIN(N$18:N$21)</f>
        <v>3.897423848903557E-2</v>
      </c>
      <c r="O23" s="73">
        <f>O18-MIN(O$18:O$21)</f>
        <v>3.9384708908587661E-2</v>
      </c>
      <c r="P23" s="75">
        <f>SQRT(SUMSQ(D23:O23))</f>
        <v>6.6836404183699127E-2</v>
      </c>
    </row>
    <row r="24" spans="2:16" x14ac:dyDescent="0.2">
      <c r="B24" s="74"/>
      <c r="D24" s="73">
        <f t="shared" ref="D24:D26" si="6">D19-MAX(D$18:D$21)</f>
        <v>-2.802239955027909E-3</v>
      </c>
      <c r="E24" s="73">
        <f t="shared" ref="E24:F26" si="7">E19-MIN(E$18:E$21)</f>
        <v>1.8745422666694399E-2</v>
      </c>
      <c r="F24" s="73">
        <f t="shared" si="7"/>
        <v>2.4823432393431891E-3</v>
      </c>
      <c r="G24" s="73">
        <f t="shared" ref="G24:H26" si="8">G19-MAX(G$18:G$21)</f>
        <v>0</v>
      </c>
      <c r="H24" s="73">
        <f t="shared" si="8"/>
        <v>-1.2644581372527726E-2</v>
      </c>
      <c r="I24" s="73">
        <f t="shared" ref="I24:I26" si="9">I19-MIN(I$18:I$21)</f>
        <v>3.2881202646108901E-2</v>
      </c>
      <c r="J24" s="73">
        <f t="shared" ref="J24:K26" si="10">J19-MAX(J$18:J$21)</f>
        <v>0</v>
      </c>
      <c r="K24" s="73">
        <f t="shared" si="10"/>
        <v>-1.4737420999263728E-3</v>
      </c>
      <c r="L24" s="73">
        <f t="shared" ref="L24:O26" si="11">L19-MIN(L$18:L$21)</f>
        <v>2.2754354448597108E-2</v>
      </c>
      <c r="M24" s="73">
        <f t="shared" si="11"/>
        <v>3.261785168515232E-2</v>
      </c>
      <c r="N24" s="73">
        <f t="shared" si="11"/>
        <v>0</v>
      </c>
      <c r="O24" s="73">
        <f t="shared" si="11"/>
        <v>1.3426282748657275E-2</v>
      </c>
      <c r="P24" s="75">
        <f t="shared" ref="P24:P26" si="12">SQRT(SUMSQ(D24:O24))</f>
        <v>5.8056750273920897E-2</v>
      </c>
    </row>
    <row r="25" spans="2:16" x14ac:dyDescent="0.2">
      <c r="D25" s="73">
        <f t="shared" si="6"/>
        <v>-1.1208959820111622E-2</v>
      </c>
      <c r="E25" s="73">
        <f t="shared" si="7"/>
        <v>0</v>
      </c>
      <c r="F25" s="73">
        <f t="shared" si="7"/>
        <v>0</v>
      </c>
      <c r="G25" s="73">
        <f t="shared" si="8"/>
        <v>-1.2194889687563291E-2</v>
      </c>
      <c r="H25" s="73">
        <f t="shared" si="8"/>
        <v>-1.8966872058791585E-2</v>
      </c>
      <c r="I25" s="73">
        <f t="shared" si="9"/>
        <v>1.8613892240806791E-2</v>
      </c>
      <c r="J25" s="73">
        <f t="shared" si="10"/>
        <v>-1.8787367299376669E-2</v>
      </c>
      <c r="K25" s="73">
        <f t="shared" si="10"/>
        <v>-6.3160375711130354E-3</v>
      </c>
      <c r="L25" s="73">
        <f t="shared" si="11"/>
        <v>2.5598648754671743E-2</v>
      </c>
      <c r="M25" s="73">
        <f t="shared" si="11"/>
        <v>4.801347768054421E-2</v>
      </c>
      <c r="N25" s="73">
        <f t="shared" si="11"/>
        <v>5.1965651318714084E-2</v>
      </c>
      <c r="O25" s="73">
        <f t="shared" si="11"/>
        <v>6.6797885577754179E-2</v>
      </c>
      <c r="P25" s="75">
        <f t="shared" si="12"/>
        <v>0.10722128579303242</v>
      </c>
    </row>
    <row r="26" spans="2:16" x14ac:dyDescent="0.2">
      <c r="D26" s="73">
        <f t="shared" si="6"/>
        <v>-1.401119977513951E-3</v>
      </c>
      <c r="E26" s="73">
        <f t="shared" si="7"/>
        <v>7.4981690666777595E-3</v>
      </c>
      <c r="F26" s="73">
        <f>F21-MIN(F$18:F$21)</f>
        <v>1.4558378929829724E-2</v>
      </c>
      <c r="G26" s="73">
        <f>G21-MAX(G$18:G$21)</f>
        <v>-1.2194889687563298E-3</v>
      </c>
      <c r="H26" s="73">
        <f t="shared" si="8"/>
        <v>-3.7301515048956783E-2</v>
      </c>
      <c r="I26" s="73">
        <f t="shared" si="9"/>
        <v>0</v>
      </c>
      <c r="J26" s="73">
        <f t="shared" si="10"/>
        <v>-6.861711942796403E-4</v>
      </c>
      <c r="K26" s="73">
        <f t="shared" si="10"/>
        <v>-2.1053458570377548E-4</v>
      </c>
      <c r="L26" s="73">
        <f t="shared" si="11"/>
        <v>0</v>
      </c>
      <c r="M26" s="73">
        <f t="shared" si="11"/>
        <v>0</v>
      </c>
      <c r="N26" s="73">
        <f t="shared" si="11"/>
        <v>6.4957064148392606E-3</v>
      </c>
      <c r="O26" s="73">
        <f t="shared" si="11"/>
        <v>0</v>
      </c>
      <c r="P26" s="75">
        <f t="shared" si="12"/>
        <v>4.1300503743274979E-2</v>
      </c>
    </row>
    <row r="28" spans="2:16" ht="16" x14ac:dyDescent="0.2">
      <c r="B28" s="74" t="s">
        <v>92</v>
      </c>
      <c r="D28" s="73">
        <f>D18-MIN(D$18:D$21)</f>
        <v>1.1208959820111622E-2</v>
      </c>
      <c r="E28" s="73">
        <f>E18-MAX(E$18:E$21)</f>
        <v>0</v>
      </c>
      <c r="F28" s="73">
        <f>F18-MAX(F$18:F$21)</f>
        <v>-4.6854228642602552E-3</v>
      </c>
      <c r="G28" s="73">
        <f>G18-MIN(G$18:G$21)</f>
        <v>0</v>
      </c>
      <c r="H28" s="73">
        <f>H18-MIN(H$18:H$21)</f>
        <v>3.7301515048956783E-2</v>
      </c>
      <c r="I28" s="73">
        <f>I18-MAX(I$18:I$21)</f>
        <v>-1.821305472283518E-2</v>
      </c>
      <c r="J28" s="73">
        <f>J18-MIN(J$18:J$21)</f>
        <v>4.8580920554998908E-3</v>
      </c>
      <c r="K28" s="73">
        <f>K18-MIN(K$18:K$21)</f>
        <v>6.3160375711130354E-3</v>
      </c>
      <c r="L28" s="73">
        <f>L18-MAX(L$18:L$21)</f>
        <v>-1.4221471530373193E-2</v>
      </c>
      <c r="M28" s="73">
        <f>M18-MAX(M$18:M$21)</f>
        <v>-3.4705394193002066E-2</v>
      </c>
      <c r="N28" s="73">
        <f>N18-MAX(N$18:N$21)</f>
        <v>-1.2991412829678514E-2</v>
      </c>
      <c r="O28" s="73">
        <f>O18-MAX(O$18:O$21)</f>
        <v>-2.7413176669166525E-2</v>
      </c>
      <c r="P28" s="75">
        <f>SQRT(SUMSQ(D28:O28))</f>
        <v>6.5277710169373421E-2</v>
      </c>
    </row>
    <row r="29" spans="2:16" x14ac:dyDescent="0.2">
      <c r="D29" s="73">
        <f t="shared" ref="D29:D31" si="13">D19-MIN(D$18:D$21)</f>
        <v>8.406719865083713E-3</v>
      </c>
      <c r="E29" s="73">
        <f t="shared" ref="E29:F31" si="14">E19-MAX(E$18:E$21)</f>
        <v>0</v>
      </c>
      <c r="F29" s="73">
        <f t="shared" si="14"/>
        <v>-1.2076035690486535E-2</v>
      </c>
      <c r="G29" s="73">
        <f t="shared" ref="G29:H31" si="15">G19-MIN(G$18:G$21)</f>
        <v>1.5243612109454109E-2</v>
      </c>
      <c r="H29" s="73">
        <f t="shared" si="15"/>
        <v>2.4656933676429058E-2</v>
      </c>
      <c r="I29" s="73">
        <f t="shared" ref="I29:I31" si="16">I19-MAX(I$18:I$21)</f>
        <v>0</v>
      </c>
      <c r="J29" s="73">
        <f t="shared" ref="J29:K31" si="17">J19-MIN(J$18:J$21)</f>
        <v>1.8787367299376669E-2</v>
      </c>
      <c r="K29" s="73">
        <f t="shared" si="17"/>
        <v>4.8422954711866625E-3</v>
      </c>
      <c r="L29" s="73">
        <f t="shared" ref="L29:O31" si="18">L19-MAX(L$18:L$21)</f>
        <v>-2.8442943060746351E-3</v>
      </c>
      <c r="M29" s="73">
        <f t="shared" si="18"/>
        <v>-1.539562599539189E-2</v>
      </c>
      <c r="N29" s="73">
        <f t="shared" si="18"/>
        <v>-5.1965651318714084E-2</v>
      </c>
      <c r="O29" s="73">
        <f t="shared" si="18"/>
        <v>-5.3371602829096906E-2</v>
      </c>
      <c r="P29" s="75">
        <f t="shared" ref="P29:P31" si="19">SQRT(SUMSQ(D29:O29))</f>
        <v>8.5013651116992786E-2</v>
      </c>
    </row>
    <row r="30" spans="2:16" x14ac:dyDescent="0.2">
      <c r="D30" s="73">
        <f t="shared" si="13"/>
        <v>0</v>
      </c>
      <c r="E30" s="73">
        <f t="shared" si="14"/>
        <v>-1.8745422666694399E-2</v>
      </c>
      <c r="F30" s="73">
        <f t="shared" si="14"/>
        <v>-1.4558378929829724E-2</v>
      </c>
      <c r="G30" s="73">
        <f t="shared" si="15"/>
        <v>3.0487224218908177E-3</v>
      </c>
      <c r="H30" s="73">
        <f t="shared" si="15"/>
        <v>1.8334642990165198E-2</v>
      </c>
      <c r="I30" s="73">
        <f t="shared" si="16"/>
        <v>-1.426731040530211E-2</v>
      </c>
      <c r="J30" s="73">
        <f t="shared" si="17"/>
        <v>0</v>
      </c>
      <c r="K30" s="73">
        <f t="shared" si="17"/>
        <v>0</v>
      </c>
      <c r="L30" s="73">
        <f t="shared" si="18"/>
        <v>0</v>
      </c>
      <c r="M30" s="73">
        <f t="shared" si="18"/>
        <v>0</v>
      </c>
      <c r="N30" s="73">
        <f t="shared" si="18"/>
        <v>0</v>
      </c>
      <c r="O30" s="73">
        <f t="shared" si="18"/>
        <v>0</v>
      </c>
      <c r="P30" s="75">
        <f t="shared" si="19"/>
        <v>3.3351870355368761E-2</v>
      </c>
    </row>
    <row r="31" spans="2:16" x14ac:dyDescent="0.2">
      <c r="D31" s="73">
        <f t="shared" si="13"/>
        <v>9.8078398425976709E-3</v>
      </c>
      <c r="E31" s="73">
        <f t="shared" si="14"/>
        <v>-1.1247253600016639E-2</v>
      </c>
      <c r="F31" s="73">
        <f t="shared" si="14"/>
        <v>0</v>
      </c>
      <c r="G31" s="73">
        <f t="shared" si="15"/>
        <v>1.4024123140697779E-2</v>
      </c>
      <c r="H31" s="73">
        <f t="shared" si="15"/>
        <v>0</v>
      </c>
      <c r="I31" s="73">
        <f t="shared" si="16"/>
        <v>-3.2881202646108901E-2</v>
      </c>
      <c r="J31" s="73">
        <f t="shared" si="17"/>
        <v>1.8101196105097028E-2</v>
      </c>
      <c r="K31" s="73">
        <f t="shared" si="17"/>
        <v>6.1055029854092599E-3</v>
      </c>
      <c r="L31" s="73">
        <f t="shared" si="18"/>
        <v>-2.5598648754671743E-2</v>
      </c>
      <c r="M31" s="73">
        <f t="shared" si="18"/>
        <v>-4.801347768054421E-2</v>
      </c>
      <c r="N31" s="73">
        <f t="shared" si="18"/>
        <v>-4.5469944903874827E-2</v>
      </c>
      <c r="O31" s="73">
        <f t="shared" si="18"/>
        <v>-6.6797885577754179E-2</v>
      </c>
      <c r="P31" s="75">
        <f t="shared" si="19"/>
        <v>0.10656234177534958</v>
      </c>
    </row>
    <row r="33" spans="15:17" ht="32" x14ac:dyDescent="0.2">
      <c r="O33" s="76"/>
      <c r="P33" s="77" t="s">
        <v>93</v>
      </c>
      <c r="Q33" s="76" t="s">
        <v>94</v>
      </c>
    </row>
    <row r="34" spans="15:17" x14ac:dyDescent="0.2">
      <c r="O34" t="s">
        <v>24</v>
      </c>
      <c r="P34" s="76">
        <f>P23/(P23+P28)</f>
        <v>0.50589904425412158</v>
      </c>
      <c r="Q34" s="76">
        <v>2</v>
      </c>
    </row>
    <row r="35" spans="15:17" x14ac:dyDescent="0.2">
      <c r="O35" t="s">
        <v>31</v>
      </c>
      <c r="P35" s="76">
        <f t="shared" ref="P35:P37" si="20">P24/(P24+P29)</f>
        <v>0.40579148244151114</v>
      </c>
      <c r="Q35" s="76">
        <v>3</v>
      </c>
    </row>
    <row r="36" spans="15:17" x14ac:dyDescent="0.2">
      <c r="O36" t="s">
        <v>32</v>
      </c>
      <c r="P36" s="76">
        <f t="shared" si="20"/>
        <v>0.76274367546987676</v>
      </c>
      <c r="Q36" s="76">
        <v>1</v>
      </c>
    </row>
    <row r="37" spans="15:17" x14ac:dyDescent="0.2">
      <c r="O37" t="s">
        <v>52</v>
      </c>
      <c r="P37" s="76">
        <f t="shared" si="20"/>
        <v>0.27931630558315501</v>
      </c>
      <c r="Q37" s="76">
        <v>4</v>
      </c>
    </row>
  </sheetData>
  <conditionalFormatting sqref="D18:D2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8:E2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:F2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1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8:H2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18:I2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:J21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K18:K21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L18:L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M18:M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N18:N21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8:O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4:P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5396-2403-47BF-AB2F-A38EF81F4AD8}">
  <dimension ref="B1:M37"/>
  <sheetViews>
    <sheetView tabSelected="1" workbookViewId="0">
      <selection activeCell="O32" sqref="O32"/>
    </sheetView>
  </sheetViews>
  <sheetFormatPr baseColWidth="10" defaultColWidth="8.83203125" defaultRowHeight="15" x14ac:dyDescent="0.2"/>
  <cols>
    <col min="2" max="2" width="17.1640625" bestFit="1" customWidth="1"/>
    <col min="11" max="11" width="15.5" bestFit="1" customWidth="1"/>
  </cols>
  <sheetData>
    <row r="1" spans="2:12" x14ac:dyDescent="0.2">
      <c r="D1" t="s">
        <v>0</v>
      </c>
      <c r="E1" t="s">
        <v>1</v>
      </c>
      <c r="F1" t="s">
        <v>1</v>
      </c>
      <c r="G1" t="s">
        <v>0</v>
      </c>
      <c r="H1" t="s">
        <v>1</v>
      </c>
      <c r="I1" t="s">
        <v>2</v>
      </c>
      <c r="J1" t="s">
        <v>2</v>
      </c>
      <c r="K1" t="s">
        <v>2</v>
      </c>
    </row>
    <row r="2" spans="2:12" ht="16" x14ac:dyDescent="0.2">
      <c r="B2" s="1" t="s">
        <v>3</v>
      </c>
      <c r="C2" s="1" t="s">
        <v>5</v>
      </c>
      <c r="D2" s="2" t="s">
        <v>6</v>
      </c>
      <c r="E2" s="2" t="s">
        <v>7</v>
      </c>
      <c r="F2" s="2" t="s">
        <v>8</v>
      </c>
      <c r="G2" s="2" t="s">
        <v>10</v>
      </c>
      <c r="H2" s="2" t="s">
        <v>11</v>
      </c>
      <c r="I2" s="3" t="s">
        <v>14</v>
      </c>
      <c r="J2" s="3" t="s">
        <v>16</v>
      </c>
      <c r="K2" s="3" t="s">
        <v>18</v>
      </c>
    </row>
    <row r="3" spans="2:12" ht="16" x14ac:dyDescent="0.2">
      <c r="B3" s="1" t="s">
        <v>86</v>
      </c>
      <c r="C3" s="1"/>
      <c r="D3" s="2">
        <v>6</v>
      </c>
      <c r="E3" s="2">
        <v>8</v>
      </c>
      <c r="F3" s="2">
        <v>9</v>
      </c>
      <c r="G3" s="2">
        <v>4</v>
      </c>
      <c r="H3" s="2">
        <v>9</v>
      </c>
      <c r="I3" s="3">
        <v>5</v>
      </c>
      <c r="J3" s="3">
        <v>8</v>
      </c>
      <c r="K3" s="3">
        <v>8</v>
      </c>
    </row>
    <row r="4" spans="2:12" x14ac:dyDescent="0.2">
      <c r="B4" t="s">
        <v>19</v>
      </c>
      <c r="C4" t="s">
        <v>21</v>
      </c>
      <c r="D4">
        <v>36</v>
      </c>
      <c r="E4">
        <v>15</v>
      </c>
      <c r="F4">
        <v>146.86000000000001</v>
      </c>
      <c r="G4">
        <v>1200</v>
      </c>
      <c r="H4">
        <v>39</v>
      </c>
      <c r="I4">
        <v>10</v>
      </c>
      <c r="J4">
        <v>351</v>
      </c>
      <c r="K4">
        <v>279</v>
      </c>
    </row>
    <row r="5" spans="2:12" x14ac:dyDescent="0.2">
      <c r="B5" t="s">
        <v>39</v>
      </c>
      <c r="C5" t="s">
        <v>21</v>
      </c>
      <c r="D5">
        <v>29</v>
      </c>
      <c r="E5">
        <v>15</v>
      </c>
      <c r="F5">
        <v>148.66999999999999</v>
      </c>
      <c r="G5">
        <v>200</v>
      </c>
      <c r="H5">
        <v>18.670000000000002</v>
      </c>
      <c r="I5">
        <v>8</v>
      </c>
      <c r="J5">
        <v>168</v>
      </c>
      <c r="K5">
        <v>133</v>
      </c>
    </row>
    <row r="6" spans="2:12" x14ac:dyDescent="0.2">
      <c r="B6" t="s">
        <v>53</v>
      </c>
      <c r="C6" t="s">
        <v>21</v>
      </c>
      <c r="D6">
        <v>36</v>
      </c>
      <c r="E6">
        <v>15</v>
      </c>
      <c r="F6">
        <v>155.24</v>
      </c>
      <c r="G6">
        <v>20</v>
      </c>
      <c r="H6">
        <v>23.29</v>
      </c>
      <c r="I6">
        <v>4</v>
      </c>
      <c r="J6">
        <v>163</v>
      </c>
      <c r="K6">
        <v>150.9</v>
      </c>
    </row>
    <row r="7" spans="2:12" x14ac:dyDescent="0.2">
      <c r="B7" t="s">
        <v>59</v>
      </c>
      <c r="C7" t="s">
        <v>26</v>
      </c>
      <c r="D7">
        <v>27</v>
      </c>
      <c r="E7">
        <v>12</v>
      </c>
      <c r="F7">
        <v>145.56</v>
      </c>
      <c r="G7">
        <v>100</v>
      </c>
      <c r="H7">
        <v>39.549999999999997</v>
      </c>
      <c r="I7">
        <v>5</v>
      </c>
      <c r="J7">
        <v>435</v>
      </c>
      <c r="K7">
        <v>480.7</v>
      </c>
    </row>
    <row r="9" spans="2:12" x14ac:dyDescent="0.2">
      <c r="B9" t="s">
        <v>87</v>
      </c>
      <c r="D9" s="73">
        <f t="shared" ref="D9:K9" si="0">D3/SUM($D$3:$K$3)</f>
        <v>0.10526315789473684</v>
      </c>
      <c r="E9" s="73">
        <f t="shared" si="0"/>
        <v>0.14035087719298245</v>
      </c>
      <c r="F9" s="73">
        <f t="shared" si="0"/>
        <v>0.15789473684210525</v>
      </c>
      <c r="G9" s="73">
        <f t="shared" si="0"/>
        <v>7.0175438596491224E-2</v>
      </c>
      <c r="H9" s="73">
        <f t="shared" si="0"/>
        <v>0.15789473684210525</v>
      </c>
      <c r="I9" s="73">
        <f t="shared" si="0"/>
        <v>8.771929824561403E-2</v>
      </c>
      <c r="J9" s="73">
        <f t="shared" si="0"/>
        <v>0.14035087719298245</v>
      </c>
      <c r="K9" s="73">
        <f t="shared" si="0"/>
        <v>0.14035087719298245</v>
      </c>
      <c r="L9">
        <f>SUM(D9:K9)</f>
        <v>1</v>
      </c>
    </row>
    <row r="11" spans="2:12" x14ac:dyDescent="0.2">
      <c r="B11" t="s">
        <v>88</v>
      </c>
      <c r="D11" s="73">
        <f t="shared" ref="D11:K11" si="1">SQRT(SUMSQ(D4:D7))</f>
        <v>64.513564465157245</v>
      </c>
      <c r="E11" s="73">
        <f t="shared" si="1"/>
        <v>28.61817604250837</v>
      </c>
      <c r="F11" s="73">
        <f t="shared" si="1"/>
        <v>298.2579415539509</v>
      </c>
      <c r="G11" s="73">
        <f t="shared" si="1"/>
        <v>1220.8193969625484</v>
      </c>
      <c r="H11" s="73">
        <f t="shared" si="1"/>
        <v>63.057081283548165</v>
      </c>
      <c r="I11" s="73">
        <f t="shared" si="1"/>
        <v>14.317821063276353</v>
      </c>
      <c r="J11" s="73">
        <f t="shared" si="1"/>
        <v>605.98597343502922</v>
      </c>
      <c r="K11" s="73">
        <f t="shared" si="1"/>
        <v>591.07808282831797</v>
      </c>
    </row>
    <row r="13" spans="2:12" ht="32" x14ac:dyDescent="0.2">
      <c r="B13" s="74" t="s">
        <v>89</v>
      </c>
      <c r="D13" s="73">
        <f t="shared" ref="D13:K16" si="2">D4/D$11</f>
        <v>0.55802218182259999</v>
      </c>
      <c r="E13" s="73">
        <f t="shared" si="2"/>
        <v>0.52414241836095909</v>
      </c>
      <c r="F13" s="73">
        <f t="shared" si="2"/>
        <v>0.49239258889418369</v>
      </c>
      <c r="G13" s="73">
        <f t="shared" si="2"/>
        <v>0.98294637436598087</v>
      </c>
      <c r="H13" s="73">
        <f t="shared" si="2"/>
        <v>0.61848723737511857</v>
      </c>
      <c r="I13" s="73">
        <f t="shared" si="2"/>
        <v>0.69843029576957816</v>
      </c>
      <c r="J13" s="73">
        <f t="shared" si="2"/>
        <v>0.57922132753396549</v>
      </c>
      <c r="K13" s="73">
        <f t="shared" si="2"/>
        <v>0.47201885521618497</v>
      </c>
    </row>
    <row r="14" spans="2:12" x14ac:dyDescent="0.2">
      <c r="D14" s="73">
        <f t="shared" si="2"/>
        <v>0.44951786869042776</v>
      </c>
      <c r="E14" s="73">
        <f t="shared" si="2"/>
        <v>0.52414241836095909</v>
      </c>
      <c r="F14" s="73">
        <f t="shared" si="2"/>
        <v>0.49846116158857606</v>
      </c>
      <c r="G14" s="73">
        <f t="shared" si="2"/>
        <v>0.16382439572766347</v>
      </c>
      <c r="H14" s="73">
        <f t="shared" si="2"/>
        <v>0.29608094158444781</v>
      </c>
      <c r="I14" s="73">
        <f t="shared" si="2"/>
        <v>0.55874423661566253</v>
      </c>
      <c r="J14" s="73">
        <f t="shared" si="2"/>
        <v>0.27723413967437666</v>
      </c>
      <c r="K14" s="73">
        <f t="shared" si="2"/>
        <v>0.22501257255825305</v>
      </c>
    </row>
    <row r="15" spans="2:12" x14ac:dyDescent="0.2">
      <c r="D15" s="73">
        <f t="shared" si="2"/>
        <v>0.55802218182259999</v>
      </c>
      <c r="E15" s="73">
        <f t="shared" si="2"/>
        <v>0.52414241836095909</v>
      </c>
      <c r="F15" s="73">
        <f t="shared" si="2"/>
        <v>0.52048907462844252</v>
      </c>
      <c r="G15" s="73">
        <f t="shared" si="2"/>
        <v>1.6382439572766347E-2</v>
      </c>
      <c r="H15" s="73">
        <f t="shared" si="2"/>
        <v>0.36934789124273104</v>
      </c>
      <c r="I15" s="73">
        <f t="shared" si="2"/>
        <v>0.27937211830783126</v>
      </c>
      <c r="J15" s="73">
        <f t="shared" si="2"/>
        <v>0.26898312361263926</v>
      </c>
      <c r="K15" s="73">
        <f t="shared" si="2"/>
        <v>0.25529621954165704</v>
      </c>
    </row>
    <row r="16" spans="2:12" x14ac:dyDescent="0.2">
      <c r="D16" s="73">
        <f t="shared" si="2"/>
        <v>0.41851663636694997</v>
      </c>
      <c r="E16" s="73">
        <f t="shared" si="2"/>
        <v>0.41931393468876732</v>
      </c>
      <c r="F16" s="73">
        <f t="shared" si="2"/>
        <v>0.48803394552252061</v>
      </c>
      <c r="G16" s="73">
        <f t="shared" si="2"/>
        <v>8.1912197863831734E-2</v>
      </c>
      <c r="H16" s="73">
        <f t="shared" si="2"/>
        <v>0.62720949328681896</v>
      </c>
      <c r="I16" s="73">
        <f t="shared" si="2"/>
        <v>0.34921514788478908</v>
      </c>
      <c r="J16" s="73">
        <f t="shared" si="2"/>
        <v>0.71783839737115385</v>
      </c>
      <c r="K16" s="73">
        <f t="shared" si="2"/>
        <v>0.81325972653197165</v>
      </c>
    </row>
    <row r="18" spans="2:12" ht="48" x14ac:dyDescent="0.2">
      <c r="B18" s="74" t="s">
        <v>90</v>
      </c>
      <c r="D18">
        <f t="shared" ref="D18:K21" si="3">D13*D$9</f>
        <v>5.8739177033957889E-2</v>
      </c>
      <c r="E18">
        <f t="shared" si="3"/>
        <v>7.3563848191011805E-2</v>
      </c>
      <c r="F18">
        <f t="shared" si="3"/>
        <v>7.7746198246450057E-2</v>
      </c>
      <c r="G18">
        <f t="shared" si="3"/>
        <v>6.8978692937963562E-2</v>
      </c>
      <c r="H18">
        <f t="shared" si="3"/>
        <v>9.765587958554503E-2</v>
      </c>
      <c r="I18">
        <f t="shared" si="3"/>
        <v>6.1265815418384044E-2</v>
      </c>
      <c r="J18">
        <f t="shared" si="3"/>
        <v>8.1294221408275857E-2</v>
      </c>
      <c r="K18">
        <f t="shared" si="3"/>
        <v>6.6248260381218935E-2</v>
      </c>
    </row>
    <row r="19" spans="2:12" x14ac:dyDescent="0.2">
      <c r="B19" s="74"/>
      <c r="D19">
        <f t="shared" si="3"/>
        <v>4.7317670388466078E-2</v>
      </c>
      <c r="E19">
        <f t="shared" si="3"/>
        <v>7.3563848191011805E-2</v>
      </c>
      <c r="F19">
        <f t="shared" si="3"/>
        <v>7.8704393935038322E-2</v>
      </c>
      <c r="G19">
        <f t="shared" si="3"/>
        <v>1.1496448822993928E-2</v>
      </c>
      <c r="H19">
        <f t="shared" si="3"/>
        <v>4.6749622355439127E-2</v>
      </c>
      <c r="I19">
        <f t="shared" si="3"/>
        <v>4.9012652334707238E-2</v>
      </c>
      <c r="J19">
        <f t="shared" si="3"/>
        <v>3.8910054691140582E-2</v>
      </c>
      <c r="K19">
        <f t="shared" si="3"/>
        <v>3.1580711938000425E-2</v>
      </c>
    </row>
    <row r="20" spans="2:12" x14ac:dyDescent="0.2">
      <c r="D20">
        <f t="shared" si="3"/>
        <v>5.8739177033957889E-2</v>
      </c>
      <c r="E20">
        <f t="shared" si="3"/>
        <v>7.3563848191011805E-2</v>
      </c>
      <c r="F20">
        <f t="shared" si="3"/>
        <v>8.2182485467648808E-2</v>
      </c>
      <c r="G20">
        <f t="shared" si="3"/>
        <v>1.1496448822993926E-3</v>
      </c>
      <c r="H20">
        <f t="shared" si="3"/>
        <v>5.831808809095753E-2</v>
      </c>
      <c r="I20">
        <f t="shared" si="3"/>
        <v>2.4506326167353619E-2</v>
      </c>
      <c r="J20">
        <f t="shared" si="3"/>
        <v>3.7752017349142353E-2</v>
      </c>
      <c r="K20">
        <f t="shared" si="3"/>
        <v>3.5831048356723794E-2</v>
      </c>
    </row>
    <row r="21" spans="2:12" x14ac:dyDescent="0.2">
      <c r="D21">
        <f t="shared" si="3"/>
        <v>4.4054382775468415E-2</v>
      </c>
      <c r="E21">
        <f t="shared" si="3"/>
        <v>5.8851078552809445E-2</v>
      </c>
      <c r="F21">
        <f t="shared" si="3"/>
        <v>7.7057991398292724E-2</v>
      </c>
      <c r="G21">
        <f t="shared" si="3"/>
        <v>5.7482244114969638E-3</v>
      </c>
      <c r="H21">
        <f t="shared" si="3"/>
        <v>9.9033077887392462E-2</v>
      </c>
      <c r="I21">
        <f t="shared" si="3"/>
        <v>3.0632907709192022E-2</v>
      </c>
      <c r="J21">
        <f t="shared" si="3"/>
        <v>0.10074924875384615</v>
      </c>
      <c r="K21">
        <f t="shared" si="3"/>
        <v>0.11414171600448725</v>
      </c>
    </row>
    <row r="23" spans="2:12" ht="32" x14ac:dyDescent="0.2">
      <c r="B23" s="74" t="s">
        <v>91</v>
      </c>
      <c r="D23" s="73">
        <f>D18-MAX(D$18:D$21)</f>
        <v>0</v>
      </c>
      <c r="E23" s="73">
        <f t="shared" ref="E23:F26" si="4">E18-MIN(E$18:E$21)</f>
        <v>1.471276963820236E-2</v>
      </c>
      <c r="F23" s="73">
        <f t="shared" si="4"/>
        <v>6.882068481573328E-4</v>
      </c>
      <c r="G23" s="73">
        <f>G18-MAX(G$18:G$21)</f>
        <v>0</v>
      </c>
      <c r="H23" s="73">
        <f t="shared" ref="H23:K26" si="5">H18-MIN(H$18:H$21)</f>
        <v>5.0906257230105903E-2</v>
      </c>
      <c r="I23" s="73">
        <f t="shared" si="5"/>
        <v>3.6759489251030425E-2</v>
      </c>
      <c r="J23" s="73">
        <f t="shared" si="5"/>
        <v>4.3542204059133505E-2</v>
      </c>
      <c r="K23" s="73">
        <f t="shared" si="5"/>
        <v>3.466754844321851E-2</v>
      </c>
      <c r="L23" s="75">
        <f>SQRT(SUMSQ(D23:K23))</f>
        <v>8.5190426361517371E-2</v>
      </c>
    </row>
    <row r="24" spans="2:12" x14ac:dyDescent="0.2">
      <c r="B24" s="74"/>
      <c r="D24" s="73">
        <f>D19-MAX(D$18:D$21)</f>
        <v>-1.1421506645491811E-2</v>
      </c>
      <c r="E24" s="73">
        <f t="shared" si="4"/>
        <v>1.471276963820236E-2</v>
      </c>
      <c r="F24" s="73">
        <f t="shared" si="4"/>
        <v>1.6464025367455976E-3</v>
      </c>
      <c r="G24" s="73">
        <f>G19-MAX(G$18:G$21)</f>
        <v>-5.7482244114969633E-2</v>
      </c>
      <c r="H24" s="73">
        <f t="shared" si="5"/>
        <v>0</v>
      </c>
      <c r="I24" s="73">
        <f t="shared" si="5"/>
        <v>2.4506326167353619E-2</v>
      </c>
      <c r="J24" s="73">
        <f t="shared" si="5"/>
        <v>1.158037341998229E-3</v>
      </c>
      <c r="K24" s="73">
        <f t="shared" si="5"/>
        <v>0</v>
      </c>
      <c r="L24" s="75">
        <f>SQRT(SUMSQ(D24:K24))</f>
        <v>6.5236006215831213E-2</v>
      </c>
    </row>
    <row r="25" spans="2:12" x14ac:dyDescent="0.2">
      <c r="D25" s="73">
        <f>D20-MAX(D$18:D$21)</f>
        <v>0</v>
      </c>
      <c r="E25" s="73">
        <f t="shared" si="4"/>
        <v>1.471276963820236E-2</v>
      </c>
      <c r="F25" s="73">
        <f t="shared" si="4"/>
        <v>5.1244940693560836E-3</v>
      </c>
      <c r="G25" s="73">
        <f>G20-MAX(G$18:G$21)</f>
        <v>-6.7829048055664171E-2</v>
      </c>
      <c r="H25" s="73">
        <f t="shared" si="5"/>
        <v>1.1568465735518403E-2</v>
      </c>
      <c r="I25" s="73">
        <f t="shared" si="5"/>
        <v>0</v>
      </c>
      <c r="J25" s="73">
        <f t="shared" si="5"/>
        <v>0</v>
      </c>
      <c r="K25" s="73">
        <f t="shared" si="5"/>
        <v>4.2503364187233689E-3</v>
      </c>
      <c r="L25" s="75">
        <f>SQRT(SUMSQ(D25:K25))</f>
        <v>7.0678147607145622E-2</v>
      </c>
    </row>
    <row r="26" spans="2:12" x14ac:dyDescent="0.2">
      <c r="D26" s="73">
        <f>D21-MAX(D$18:D$21)</f>
        <v>-1.4684794258489474E-2</v>
      </c>
      <c r="E26" s="73">
        <f t="shared" si="4"/>
        <v>0</v>
      </c>
      <c r="F26" s="73">
        <f t="shared" si="4"/>
        <v>0</v>
      </c>
      <c r="G26" s="73">
        <f>G21-MAX(G$18:G$21)</f>
        <v>-6.3230468526466604E-2</v>
      </c>
      <c r="H26" s="73">
        <f t="shared" si="5"/>
        <v>5.2283455531953335E-2</v>
      </c>
      <c r="I26" s="73">
        <f t="shared" si="5"/>
        <v>6.126581541838403E-3</v>
      </c>
      <c r="J26" s="73">
        <f t="shared" si="5"/>
        <v>6.2997231404703799E-2</v>
      </c>
      <c r="K26" s="73">
        <f t="shared" si="5"/>
        <v>8.2561004066486823E-2</v>
      </c>
      <c r="L26" s="75">
        <f>SQRT(SUMSQ(D26:K26))</f>
        <v>0.13330341561027398</v>
      </c>
    </row>
    <row r="28" spans="2:12" ht="16" x14ac:dyDescent="0.2">
      <c r="B28" s="74" t="s">
        <v>92</v>
      </c>
      <c r="D28" s="73">
        <f>D18-MIN(D$18:D$21)</f>
        <v>1.4684794258489474E-2</v>
      </c>
      <c r="E28" s="73">
        <f t="shared" ref="E28:F31" si="6">E18-MAX(E$18:E$21)</f>
        <v>0</v>
      </c>
      <c r="F28" s="73">
        <f t="shared" si="6"/>
        <v>-4.4362872211987509E-3</v>
      </c>
      <c r="G28" s="73">
        <f>G18-MIN(G$18:G$21)</f>
        <v>6.7829048055664171E-2</v>
      </c>
      <c r="H28" s="73">
        <f t="shared" ref="H28:K31" si="7">H18-MAX(H$18:H$21)</f>
        <v>-1.3771983018474321E-3</v>
      </c>
      <c r="I28" s="73">
        <f t="shared" si="7"/>
        <v>0</v>
      </c>
      <c r="J28" s="73">
        <f t="shared" si="7"/>
        <v>-1.9455027345570294E-2</v>
      </c>
      <c r="K28" s="73">
        <f t="shared" si="7"/>
        <v>-4.7893455623268313E-2</v>
      </c>
      <c r="L28" s="75">
        <f>SQRT(SUMSQ(D28:K28))</f>
        <v>8.6661879985251919E-2</v>
      </c>
    </row>
    <row r="29" spans="2:12" x14ac:dyDescent="0.2">
      <c r="D29" s="73">
        <f>D19-MIN(D$18:D$21)</f>
        <v>3.2632876129976632E-3</v>
      </c>
      <c r="E29" s="73">
        <f t="shared" si="6"/>
        <v>0</v>
      </c>
      <c r="F29" s="73">
        <f t="shared" si="6"/>
        <v>-3.4780915326104861E-3</v>
      </c>
      <c r="G29" s="73">
        <f>G19-MIN(G$18:G$21)</f>
        <v>1.0346803940694534E-2</v>
      </c>
      <c r="H29" s="73">
        <f t="shared" si="7"/>
        <v>-5.2283455531953335E-2</v>
      </c>
      <c r="I29" s="73">
        <f t="shared" si="7"/>
        <v>-1.2253163083676806E-2</v>
      </c>
      <c r="J29" s="73">
        <f t="shared" si="7"/>
        <v>-6.183919406270557E-2</v>
      </c>
      <c r="K29" s="73">
        <f t="shared" si="7"/>
        <v>-8.2561004066486823E-2</v>
      </c>
      <c r="L29" s="75">
        <f t="shared" ref="L29:L31" si="8">SQRT(SUMSQ(D29:K29))</f>
        <v>0.11684993607721773</v>
      </c>
    </row>
    <row r="30" spans="2:12" x14ac:dyDescent="0.2">
      <c r="D30" s="73">
        <f>D20-MIN(D$18:D$21)</f>
        <v>1.4684794258489474E-2</v>
      </c>
      <c r="E30" s="73">
        <f t="shared" si="6"/>
        <v>0</v>
      </c>
      <c r="F30" s="73">
        <f t="shared" si="6"/>
        <v>0</v>
      </c>
      <c r="G30" s="73">
        <f>G20-MIN(G$18:G$21)</f>
        <v>0</v>
      </c>
      <c r="H30" s="73">
        <f t="shared" si="7"/>
        <v>-4.0714989796434932E-2</v>
      </c>
      <c r="I30" s="73">
        <f t="shared" si="7"/>
        <v>-3.6759489251030425E-2</v>
      </c>
      <c r="J30" s="73">
        <f t="shared" si="7"/>
        <v>-6.2997231404703799E-2</v>
      </c>
      <c r="K30" s="73">
        <f t="shared" si="7"/>
        <v>-7.8310667647763454E-2</v>
      </c>
      <c r="L30" s="75">
        <f t="shared" si="8"/>
        <v>0.11543753920900623</v>
      </c>
    </row>
    <row r="31" spans="2:12" x14ac:dyDescent="0.2">
      <c r="D31" s="73">
        <f>D21-MIN(D$18:D$21)</f>
        <v>0</v>
      </c>
      <c r="E31" s="73">
        <f t="shared" si="6"/>
        <v>-1.471276963820236E-2</v>
      </c>
      <c r="F31" s="73">
        <f t="shared" si="6"/>
        <v>-5.1244940693560836E-3</v>
      </c>
      <c r="G31" s="73">
        <f>G21-MIN(G$18:G$21)</f>
        <v>4.5985795291975714E-3</v>
      </c>
      <c r="H31" s="73">
        <f t="shared" si="7"/>
        <v>0</v>
      </c>
      <c r="I31" s="73">
        <f t="shared" si="7"/>
        <v>-3.0632907709192022E-2</v>
      </c>
      <c r="J31" s="73">
        <f t="shared" si="7"/>
        <v>0</v>
      </c>
      <c r="K31" s="73">
        <f t="shared" si="7"/>
        <v>0</v>
      </c>
      <c r="L31" s="75">
        <f t="shared" si="8"/>
        <v>3.4673448030155665E-2</v>
      </c>
    </row>
    <row r="33" spans="11:13" ht="32" x14ac:dyDescent="0.2">
      <c r="K33" s="76"/>
      <c r="L33" s="77" t="s">
        <v>93</v>
      </c>
      <c r="M33" s="76" t="s">
        <v>94</v>
      </c>
    </row>
    <row r="34" spans="11:13" x14ac:dyDescent="0.2">
      <c r="K34" t="s">
        <v>19</v>
      </c>
      <c r="L34" s="76">
        <f>L23/(L23+L28)</f>
        <v>0.49571884237397024</v>
      </c>
      <c r="M34" s="76">
        <v>2</v>
      </c>
    </row>
    <row r="35" spans="11:13" x14ac:dyDescent="0.2">
      <c r="K35" t="s">
        <v>39</v>
      </c>
      <c r="L35" s="76">
        <f>L24/(L24+L29)</f>
        <v>0.35827041557574196</v>
      </c>
      <c r="M35" s="76">
        <v>4</v>
      </c>
    </row>
    <row r="36" spans="11:13" x14ac:dyDescent="0.2">
      <c r="K36" t="s">
        <v>53</v>
      </c>
      <c r="L36" s="76">
        <f>L25/(L25+L30)</f>
        <v>0.37975384459109379</v>
      </c>
      <c r="M36" s="76">
        <v>3</v>
      </c>
    </row>
    <row r="37" spans="11:13" x14ac:dyDescent="0.2">
      <c r="K37" t="s">
        <v>59</v>
      </c>
      <c r="L37" s="76">
        <f>L26/(L26+L31)</f>
        <v>0.79358200124287681</v>
      </c>
      <c r="M37" s="76">
        <v>1</v>
      </c>
    </row>
  </sheetData>
  <conditionalFormatting sqref="D18:D21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18:E21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8:F21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8:G21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18:H21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8:I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8:J21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8:K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34:L3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F6FDD-DA19-41D8-807F-3550C428871C}">
  <dimension ref="A1:K17"/>
  <sheetViews>
    <sheetView workbookViewId="0"/>
  </sheetViews>
  <sheetFormatPr baseColWidth="10" defaultColWidth="8.83203125" defaultRowHeight="15" x14ac:dyDescent="0.2"/>
  <cols>
    <col min="1" max="1" width="9" bestFit="1" customWidth="1"/>
    <col min="2" max="2" width="17.83203125" bestFit="1" customWidth="1"/>
    <col min="3" max="3" width="19.6640625" bestFit="1" customWidth="1"/>
    <col min="4" max="4" width="18.83203125" bestFit="1" customWidth="1"/>
    <col min="5" max="5" width="27.1640625" bestFit="1" customWidth="1"/>
    <col min="6" max="6" width="10.5" bestFit="1" customWidth="1"/>
    <col min="7" max="7" width="25.5" bestFit="1" customWidth="1"/>
    <col min="9" max="9" width="20.33203125" bestFit="1" customWidth="1"/>
    <col min="10" max="10" width="11.33203125" bestFit="1" customWidth="1"/>
    <col min="11" max="11" width="12.5" bestFit="1" customWidth="1"/>
  </cols>
  <sheetData>
    <row r="1" spans="1:11" x14ac:dyDescent="0.2">
      <c r="A1" s="6" t="s">
        <v>66</v>
      </c>
      <c r="C1" s="6" t="s">
        <v>68</v>
      </c>
    </row>
    <row r="2" spans="1:11" x14ac:dyDescent="0.2">
      <c r="A2" t="s">
        <v>6</v>
      </c>
      <c r="C2" t="s">
        <v>14</v>
      </c>
    </row>
    <row r="3" spans="1:11" x14ac:dyDescent="0.2">
      <c r="A3" t="s">
        <v>60</v>
      </c>
      <c r="C3" t="s">
        <v>16</v>
      </c>
    </row>
    <row r="4" spans="1:11" x14ac:dyDescent="0.2">
      <c r="A4" t="s">
        <v>61</v>
      </c>
      <c r="C4" t="s">
        <v>18</v>
      </c>
    </row>
    <row r="5" spans="1:11" x14ac:dyDescent="0.2">
      <c r="A5" t="s">
        <v>10</v>
      </c>
    </row>
    <row r="6" spans="1:11" x14ac:dyDescent="0.2">
      <c r="A6" t="s">
        <v>62</v>
      </c>
    </row>
    <row r="8" spans="1:11" x14ac:dyDescent="0.2">
      <c r="A8" t="s">
        <v>71</v>
      </c>
    </row>
    <row r="9" spans="1:11" ht="16" thickBot="1" x14ac:dyDescent="0.25">
      <c r="A9" t="s">
        <v>85</v>
      </c>
    </row>
    <row r="10" spans="1:11" ht="16" thickTop="1" x14ac:dyDescent="0.2">
      <c r="A10" s="49"/>
      <c r="B10" s="51"/>
      <c r="C10" s="52" t="s">
        <v>83</v>
      </c>
      <c r="D10" s="53"/>
      <c r="E10" s="53"/>
      <c r="F10" s="53"/>
      <c r="G10" s="54"/>
      <c r="I10" s="70" t="s">
        <v>84</v>
      </c>
      <c r="J10" s="70"/>
      <c r="K10" s="70"/>
    </row>
    <row r="11" spans="1:11" x14ac:dyDescent="0.2">
      <c r="A11" s="50" t="s">
        <v>72</v>
      </c>
      <c r="B11" s="55" t="s">
        <v>67</v>
      </c>
      <c r="C11" s="56" t="s">
        <v>6</v>
      </c>
      <c r="D11" s="57" t="s">
        <v>60</v>
      </c>
      <c r="E11" s="57" t="s">
        <v>61</v>
      </c>
      <c r="F11" s="57" t="s">
        <v>10</v>
      </c>
      <c r="G11" s="58" t="s">
        <v>62</v>
      </c>
      <c r="I11" s="70" t="s">
        <v>14</v>
      </c>
      <c r="J11" s="70" t="s">
        <v>16</v>
      </c>
      <c r="K11" s="70" t="s">
        <v>18</v>
      </c>
    </row>
    <row r="12" spans="1:11" x14ac:dyDescent="0.2">
      <c r="A12" s="47">
        <v>1</v>
      </c>
      <c r="B12" s="59" t="s">
        <v>19</v>
      </c>
      <c r="C12" s="60">
        <v>29</v>
      </c>
      <c r="D12" s="61">
        <v>0</v>
      </c>
      <c r="E12" s="61">
        <v>0.45704983721512638</v>
      </c>
      <c r="F12" s="61">
        <v>1200</v>
      </c>
      <c r="G12" s="62">
        <v>0.17365269461077845</v>
      </c>
      <c r="I12" s="71">
        <v>10</v>
      </c>
      <c r="J12" s="71">
        <v>351</v>
      </c>
      <c r="K12" s="71">
        <v>279</v>
      </c>
    </row>
    <row r="13" spans="1:11" x14ac:dyDescent="0.2">
      <c r="A13" s="47">
        <v>2</v>
      </c>
      <c r="B13" s="59" t="s">
        <v>39</v>
      </c>
      <c r="C13" s="63">
        <v>27</v>
      </c>
      <c r="D13" s="64">
        <v>0</v>
      </c>
      <c r="E13" s="64">
        <v>0.44194006177477269</v>
      </c>
      <c r="F13" s="64">
        <v>200</v>
      </c>
      <c r="G13" s="65">
        <v>0.66059880239520952</v>
      </c>
      <c r="I13" s="71">
        <v>8</v>
      </c>
      <c r="J13" s="71">
        <v>168</v>
      </c>
      <c r="K13" s="71">
        <v>133</v>
      </c>
    </row>
    <row r="14" spans="1:11" x14ac:dyDescent="0.2">
      <c r="A14" s="47">
        <v>3</v>
      </c>
      <c r="B14" s="59" t="s">
        <v>41</v>
      </c>
      <c r="C14" s="60">
        <v>5.387744189579216</v>
      </c>
      <c r="D14" s="61">
        <v>6.6495084742084598E-2</v>
      </c>
      <c r="E14" s="61">
        <v>9.4733021635398484E-2</v>
      </c>
      <c r="F14" s="61">
        <v>12.244873158134569</v>
      </c>
      <c r="G14" s="62">
        <v>8.7727325237115003E-2</v>
      </c>
      <c r="I14" s="64">
        <v>0.99999999999999933</v>
      </c>
      <c r="J14" s="64">
        <v>61.999999999999964</v>
      </c>
      <c r="K14" s="64">
        <v>64.615720492176791</v>
      </c>
    </row>
    <row r="15" spans="1:11" x14ac:dyDescent="0.2">
      <c r="A15" s="47">
        <v>4</v>
      </c>
      <c r="B15" s="59" t="s">
        <v>53</v>
      </c>
      <c r="C15" s="63">
        <v>21.000000000000011</v>
      </c>
      <c r="D15" s="64">
        <v>0.35714285714285732</v>
      </c>
      <c r="E15" s="64">
        <v>0.3870940813089575</v>
      </c>
      <c r="F15" s="64">
        <v>20.000000000000007</v>
      </c>
      <c r="G15" s="65">
        <v>0.5499401197604793</v>
      </c>
      <c r="I15" s="64">
        <v>4.0000000000000018</v>
      </c>
      <c r="J15" s="64">
        <v>163.00000000000009</v>
      </c>
      <c r="K15" s="64">
        <v>150.90000000000006</v>
      </c>
    </row>
    <row r="16" spans="1:11" x14ac:dyDescent="0.2">
      <c r="A16" s="47">
        <v>5</v>
      </c>
      <c r="B16" s="59" t="s">
        <v>55</v>
      </c>
      <c r="C16" s="60">
        <v>5.3280575539568336</v>
      </c>
      <c r="D16" s="61">
        <v>3.8540596094552917E-2</v>
      </c>
      <c r="E16" s="61">
        <v>8.875844478436784E-2</v>
      </c>
      <c r="F16" s="61">
        <v>30.071942446043153</v>
      </c>
      <c r="G16" s="62">
        <v>3.0612156981002031E-2</v>
      </c>
      <c r="I16" s="71">
        <v>0.99999999999999978</v>
      </c>
      <c r="J16" s="71">
        <v>81.772661870503583</v>
      </c>
      <c r="K16" s="71">
        <v>89.266906474820132</v>
      </c>
    </row>
    <row r="17" spans="1:11" ht="16" thickBot="1" x14ac:dyDescent="0.25">
      <c r="A17" s="48">
        <v>6</v>
      </c>
      <c r="B17" s="66" t="s">
        <v>59</v>
      </c>
      <c r="C17" s="67">
        <v>28</v>
      </c>
      <c r="D17" s="68">
        <v>0.21428571428571427</v>
      </c>
      <c r="E17" s="68">
        <v>0.46790216211703817</v>
      </c>
      <c r="F17" s="68">
        <v>100</v>
      </c>
      <c r="G17" s="69">
        <v>0.16047904191616774</v>
      </c>
      <c r="I17" s="72">
        <v>5</v>
      </c>
      <c r="J17" s="72">
        <v>435</v>
      </c>
      <c r="K17" s="72">
        <v>480.7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421DF-F531-4891-9ADA-F88DACE73C85}">
  <dimension ref="A1:J18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7.83203125" bestFit="1" customWidth="1"/>
    <col min="3" max="3" width="11.6640625" bestFit="1" customWidth="1"/>
    <col min="4" max="4" width="18.83203125" bestFit="1" customWidth="1"/>
    <col min="5" max="5" width="27.1640625" bestFit="1" customWidth="1"/>
    <col min="6" max="6" width="10" bestFit="1" customWidth="1"/>
    <col min="7" max="7" width="25.5" bestFit="1" customWidth="1"/>
    <col min="8" max="8" width="12.5" bestFit="1" customWidth="1"/>
    <col min="9" max="9" width="11.33203125" bestFit="1" customWidth="1"/>
    <col min="10" max="10" width="12.5" bestFit="1" customWidth="1"/>
  </cols>
  <sheetData>
    <row r="1" spans="1:10" x14ac:dyDescent="0.2">
      <c r="A1" s="6" t="s">
        <v>66</v>
      </c>
      <c r="C1" s="6" t="s">
        <v>68</v>
      </c>
    </row>
    <row r="2" spans="1:10" x14ac:dyDescent="0.2">
      <c r="A2" t="s">
        <v>6</v>
      </c>
      <c r="C2" t="s">
        <v>14</v>
      </c>
    </row>
    <row r="3" spans="1:10" x14ac:dyDescent="0.2">
      <c r="A3" t="s">
        <v>60</v>
      </c>
      <c r="C3" t="s">
        <v>16</v>
      </c>
    </row>
    <row r="4" spans="1:10" x14ac:dyDescent="0.2">
      <c r="A4" t="s">
        <v>61</v>
      </c>
      <c r="C4" t="s">
        <v>18</v>
      </c>
    </row>
    <row r="5" spans="1:10" x14ac:dyDescent="0.2">
      <c r="A5" t="s">
        <v>10</v>
      </c>
    </row>
    <row r="6" spans="1:10" x14ac:dyDescent="0.2">
      <c r="A6" t="s">
        <v>62</v>
      </c>
    </row>
    <row r="8" spans="1:10" x14ac:dyDescent="0.2">
      <c r="A8" t="s">
        <v>71</v>
      </c>
    </row>
    <row r="9" spans="1:10" ht="16" thickBot="1" x14ac:dyDescent="0.25">
      <c r="A9" t="s">
        <v>80</v>
      </c>
    </row>
    <row r="10" spans="1:10" ht="16" thickTop="1" x14ac:dyDescent="0.2">
      <c r="A10" s="10"/>
      <c r="B10" s="10"/>
      <c r="C10" s="29" t="s">
        <v>81</v>
      </c>
      <c r="D10" s="31"/>
      <c r="E10" s="31"/>
      <c r="F10" s="31"/>
      <c r="G10" s="33"/>
      <c r="H10" s="44" t="s">
        <v>82</v>
      </c>
      <c r="I10" s="44"/>
      <c r="J10" s="44"/>
    </row>
    <row r="11" spans="1:10" x14ac:dyDescent="0.2">
      <c r="A11" s="11" t="s">
        <v>72</v>
      </c>
      <c r="B11" s="11" t="s">
        <v>67</v>
      </c>
      <c r="C11" s="30" t="s">
        <v>6</v>
      </c>
      <c r="D11" s="32" t="s">
        <v>60</v>
      </c>
      <c r="E11" s="32" t="s">
        <v>61</v>
      </c>
      <c r="F11" s="32" t="s">
        <v>10</v>
      </c>
      <c r="G11" s="34" t="s">
        <v>62</v>
      </c>
      <c r="H11" s="44" t="s">
        <v>14</v>
      </c>
      <c r="I11" s="44" t="s">
        <v>16</v>
      </c>
      <c r="J11" s="44" t="s">
        <v>18</v>
      </c>
    </row>
    <row r="12" spans="1:10" x14ac:dyDescent="0.2">
      <c r="A12">
        <v>1</v>
      </c>
      <c r="B12" t="s">
        <v>19</v>
      </c>
      <c r="C12" s="35">
        <v>-7.1054273576010019E-15</v>
      </c>
      <c r="D12" s="36">
        <v>0</v>
      </c>
      <c r="E12" s="36">
        <v>-1.1102230246251565E-16</v>
      </c>
      <c r="F12" s="36">
        <v>-2.2737367544323206E-13</v>
      </c>
      <c r="G12" s="37">
        <v>-2.7755575615628914E-17</v>
      </c>
      <c r="H12" s="45">
        <v>0</v>
      </c>
      <c r="I12" s="45">
        <v>0</v>
      </c>
      <c r="J12" s="45">
        <v>0</v>
      </c>
    </row>
    <row r="13" spans="1:10" x14ac:dyDescent="0.2">
      <c r="A13">
        <v>2</v>
      </c>
      <c r="B13" t="s">
        <v>39</v>
      </c>
      <c r="C13" s="38">
        <v>-7.1054273576010019E-15</v>
      </c>
      <c r="D13" s="39">
        <v>0</v>
      </c>
      <c r="E13" s="39">
        <v>-1.1102230246251565E-16</v>
      </c>
      <c r="F13" s="39">
        <v>-5.6843418860808015E-14</v>
      </c>
      <c r="G13" s="40">
        <v>-1.1102230246251565E-16</v>
      </c>
      <c r="H13" s="45">
        <v>0</v>
      </c>
      <c r="I13" s="45">
        <v>0</v>
      </c>
      <c r="J13" s="45">
        <v>0</v>
      </c>
    </row>
    <row r="14" spans="1:10" x14ac:dyDescent="0.2">
      <c r="A14">
        <v>3</v>
      </c>
      <c r="B14" t="s">
        <v>41</v>
      </c>
      <c r="C14" s="35">
        <v>-2.6645352591003757E-15</v>
      </c>
      <c r="D14" s="36">
        <v>0.1434170265402224</v>
      </c>
      <c r="E14" s="36">
        <v>4.1893553731181976E-2</v>
      </c>
      <c r="F14" s="36">
        <v>7.1054273576010019E-15</v>
      </c>
      <c r="G14" s="37">
        <v>1.726239151652556E-3</v>
      </c>
      <c r="H14" s="39">
        <v>-6.6613381477509392E-16</v>
      </c>
      <c r="I14" s="39">
        <v>-3.5527136788005009E-14</v>
      </c>
      <c r="J14" s="39">
        <v>9.6157204921767914</v>
      </c>
    </row>
    <row r="15" spans="1:10" x14ac:dyDescent="0.2">
      <c r="A15">
        <v>4</v>
      </c>
      <c r="B15" t="s">
        <v>53</v>
      </c>
      <c r="C15" s="38">
        <v>3.5527136788005009E-14</v>
      </c>
      <c r="D15" s="39">
        <v>6.106226635438361E-16</v>
      </c>
      <c r="E15" s="39">
        <v>6.6613381477509392E-16</v>
      </c>
      <c r="F15" s="39">
        <v>3.5527136788005009E-14</v>
      </c>
      <c r="G15" s="40">
        <v>9.9920072216264089E-16</v>
      </c>
      <c r="H15" s="39">
        <v>1.7763568394002505E-15</v>
      </c>
      <c r="I15" s="39">
        <v>8.5265128291212022E-14</v>
      </c>
      <c r="J15" s="39">
        <v>5.6843418860808015E-14</v>
      </c>
    </row>
    <row r="16" spans="1:10" x14ac:dyDescent="0.2">
      <c r="A16">
        <v>5</v>
      </c>
      <c r="B16" t="s">
        <v>55</v>
      </c>
      <c r="C16" s="35">
        <v>5.197122302158272</v>
      </c>
      <c r="D16" s="36">
        <v>0.26217882836587869</v>
      </c>
      <c r="E16" s="36">
        <v>7.7253539017020784E-2</v>
      </c>
      <c r="F16" s="36">
        <v>7.1054273576010019E-15</v>
      </c>
      <c r="G16" s="37">
        <v>-1.3877787807814457E-17</v>
      </c>
      <c r="H16" s="45">
        <v>-2.2204460492503131E-16</v>
      </c>
      <c r="I16" s="45">
        <v>39.772661870503583</v>
      </c>
      <c r="J16" s="45">
        <v>28.066906474820129</v>
      </c>
    </row>
    <row r="17" spans="1:10" ht="16" thickBot="1" x14ac:dyDescent="0.25">
      <c r="A17" s="8">
        <v>6</v>
      </c>
      <c r="B17" s="8" t="s">
        <v>59</v>
      </c>
      <c r="C17" s="41">
        <v>0</v>
      </c>
      <c r="D17" s="42">
        <v>0</v>
      </c>
      <c r="E17" s="42">
        <v>0</v>
      </c>
      <c r="F17" s="42">
        <v>0</v>
      </c>
      <c r="G17" s="43">
        <v>0</v>
      </c>
      <c r="H17" s="46">
        <v>0</v>
      </c>
      <c r="I17" s="46">
        <v>0</v>
      </c>
      <c r="J17" s="46">
        <v>0</v>
      </c>
    </row>
    <row r="18" spans="1:10" x14ac:dyDescent="0.2">
      <c r="C18" s="7"/>
      <c r="D18" s="7"/>
      <c r="E18" s="7"/>
      <c r="F18" s="7"/>
      <c r="G18" s="7"/>
      <c r="H18" s="7"/>
      <c r="I18" s="7"/>
      <c r="J18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CA986-30E0-4E62-8CF5-6B6928C0C8A4}">
  <dimension ref="A1:N16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7.83203125" bestFit="1" customWidth="1"/>
    <col min="3" max="3" width="12.5" bestFit="1" customWidth="1"/>
    <col min="4" max="4" width="7.83203125" bestFit="1" customWidth="1"/>
    <col min="5" max="5" width="9.1640625" bestFit="1" customWidth="1"/>
    <col min="7" max="7" width="15.1640625" bestFit="1" customWidth="1"/>
    <col min="8" max="8" width="17.6640625" bestFit="1" customWidth="1"/>
    <col min="10" max="10" width="5.5" bestFit="1" customWidth="1"/>
    <col min="11" max="11" width="17.6640625" bestFit="1" customWidth="1"/>
    <col min="13" max="13" width="5.5" bestFit="1" customWidth="1"/>
    <col min="14" max="14" width="7.33203125" bestFit="1" customWidth="1"/>
  </cols>
  <sheetData>
    <row r="1" spans="1:14" x14ac:dyDescent="0.2">
      <c r="A1" s="6" t="s">
        <v>66</v>
      </c>
      <c r="C1" s="6" t="s">
        <v>68</v>
      </c>
    </row>
    <row r="2" spans="1:14" x14ac:dyDescent="0.2">
      <c r="A2" t="s">
        <v>6</v>
      </c>
      <c r="C2" t="s">
        <v>14</v>
      </c>
    </row>
    <row r="3" spans="1:14" x14ac:dyDescent="0.2">
      <c r="A3" t="s">
        <v>60</v>
      </c>
      <c r="C3" t="s">
        <v>16</v>
      </c>
    </row>
    <row r="4" spans="1:14" x14ac:dyDescent="0.2">
      <c r="A4" t="s">
        <v>61</v>
      </c>
      <c r="C4" t="s">
        <v>18</v>
      </c>
    </row>
    <row r="5" spans="1:14" x14ac:dyDescent="0.2">
      <c r="A5" t="s">
        <v>10</v>
      </c>
    </row>
    <row r="6" spans="1:14" x14ac:dyDescent="0.2">
      <c r="A6" t="s">
        <v>62</v>
      </c>
    </row>
    <row r="7" spans="1:14" ht="16" thickBot="1" x14ac:dyDescent="0.25"/>
    <row r="8" spans="1:14" ht="16" thickTop="1" x14ac:dyDescent="0.2">
      <c r="A8" s="12"/>
      <c r="B8" s="12"/>
      <c r="C8" s="12" t="s">
        <v>71</v>
      </c>
      <c r="D8" s="17"/>
      <c r="E8" s="18"/>
      <c r="F8" s="18"/>
      <c r="G8" s="18"/>
      <c r="H8" s="18"/>
      <c r="I8" s="18"/>
      <c r="J8" s="18"/>
      <c r="K8" s="18"/>
      <c r="L8" s="18"/>
      <c r="M8" s="18"/>
      <c r="N8" s="19"/>
    </row>
    <row r="9" spans="1:14" x14ac:dyDescent="0.2">
      <c r="A9" s="13"/>
      <c r="B9" s="13"/>
      <c r="C9" s="14" t="s">
        <v>73</v>
      </c>
      <c r="D9" s="20" t="s">
        <v>76</v>
      </c>
      <c r="E9" s="21"/>
      <c r="F9" s="21"/>
      <c r="G9" s="21" t="s">
        <v>74</v>
      </c>
      <c r="H9" s="21"/>
      <c r="I9" s="21"/>
      <c r="J9" s="21"/>
      <c r="K9" s="21"/>
      <c r="L9" s="21"/>
      <c r="M9" s="21"/>
      <c r="N9" s="22"/>
    </row>
    <row r="10" spans="1:14" x14ac:dyDescent="0.2">
      <c r="A10" s="15" t="s">
        <v>72</v>
      </c>
      <c r="B10" s="15" t="s">
        <v>67</v>
      </c>
      <c r="C10" s="16" t="s">
        <v>70</v>
      </c>
      <c r="D10" s="23" t="s">
        <v>69</v>
      </c>
      <c r="E10" s="24" t="s">
        <v>77</v>
      </c>
      <c r="F10" s="24"/>
      <c r="G10" s="24" t="s">
        <v>75</v>
      </c>
      <c r="H10" s="24"/>
      <c r="I10" s="24"/>
      <c r="J10" s="24"/>
      <c r="K10" s="24"/>
      <c r="L10" s="24"/>
      <c r="M10" s="24"/>
      <c r="N10" s="25"/>
    </row>
    <row r="11" spans="1:14" x14ac:dyDescent="0.2">
      <c r="A11">
        <v>1</v>
      </c>
      <c r="B11" t="s">
        <v>19</v>
      </c>
      <c r="C11" s="7">
        <v>1</v>
      </c>
      <c r="D11" s="20">
        <v>1</v>
      </c>
      <c r="E11" s="21" t="s">
        <v>78</v>
      </c>
      <c r="F11" s="21"/>
      <c r="G11" s="21">
        <v>1</v>
      </c>
      <c r="H11" s="21" t="s">
        <v>19</v>
      </c>
      <c r="I11" s="21"/>
      <c r="J11" s="21"/>
      <c r="K11" s="21"/>
      <c r="L11" s="21"/>
      <c r="M11" s="21"/>
      <c r="N11" s="22"/>
    </row>
    <row r="12" spans="1:14" x14ac:dyDescent="0.2">
      <c r="A12">
        <v>2</v>
      </c>
      <c r="B12" t="s">
        <v>39</v>
      </c>
      <c r="C12" s="7">
        <v>1</v>
      </c>
      <c r="D12" s="23">
        <v>1</v>
      </c>
      <c r="E12" s="24" t="s">
        <v>78</v>
      </c>
      <c r="F12" s="24"/>
      <c r="G12" s="24">
        <v>1</v>
      </c>
      <c r="H12" s="24" t="s">
        <v>39</v>
      </c>
      <c r="I12" s="24"/>
      <c r="J12" s="24"/>
      <c r="K12" s="24"/>
      <c r="L12" s="24"/>
      <c r="M12" s="24"/>
      <c r="N12" s="25"/>
    </row>
    <row r="13" spans="1:14" x14ac:dyDescent="0.2">
      <c r="A13">
        <v>3</v>
      </c>
      <c r="B13" t="s">
        <v>41</v>
      </c>
      <c r="C13" s="7">
        <v>0.24489746316269151</v>
      </c>
      <c r="D13" s="20">
        <v>0.22507063648792336</v>
      </c>
      <c r="E13" s="21" t="s">
        <v>79</v>
      </c>
      <c r="F13" s="21"/>
      <c r="G13" s="21">
        <v>1.6709706820597755E-3</v>
      </c>
      <c r="H13" s="21" t="s">
        <v>39</v>
      </c>
      <c r="I13" s="21"/>
      <c r="J13" s="21">
        <v>0.13036609448579681</v>
      </c>
      <c r="K13" s="21" t="s">
        <v>53</v>
      </c>
      <c r="L13" s="21"/>
      <c r="M13" s="21">
        <v>9.3033571320066774E-2</v>
      </c>
      <c r="N13" s="22" t="s">
        <v>59</v>
      </c>
    </row>
    <row r="14" spans="1:14" x14ac:dyDescent="0.2">
      <c r="A14">
        <v>4</v>
      </c>
      <c r="B14" t="s">
        <v>53</v>
      </c>
      <c r="C14" s="7">
        <v>1</v>
      </c>
      <c r="D14" s="23">
        <v>1.0000000000000004</v>
      </c>
      <c r="E14" s="24" t="s">
        <v>78</v>
      </c>
      <c r="F14" s="24"/>
      <c r="G14" s="24">
        <v>1.0000000000000004</v>
      </c>
      <c r="H14" s="24" t="s">
        <v>53</v>
      </c>
      <c r="I14" s="24"/>
      <c r="J14" s="24"/>
      <c r="K14" s="24"/>
      <c r="L14" s="24"/>
      <c r="M14" s="24"/>
      <c r="N14" s="25"/>
    </row>
    <row r="15" spans="1:14" x14ac:dyDescent="0.2">
      <c r="A15">
        <v>5</v>
      </c>
      <c r="B15" t="s">
        <v>55</v>
      </c>
      <c r="C15" s="7">
        <v>0.30071942446043159</v>
      </c>
      <c r="D15" s="20">
        <v>0.18992805755395681</v>
      </c>
      <c r="E15" s="21" t="s">
        <v>79</v>
      </c>
      <c r="F15" s="21"/>
      <c r="G15" s="21">
        <v>1.0071942446043161E-2</v>
      </c>
      <c r="H15" s="21" t="s">
        <v>19</v>
      </c>
      <c r="I15" s="21"/>
      <c r="J15" s="21">
        <v>0.17985611510791363</v>
      </c>
      <c r="K15" s="21" t="s">
        <v>59</v>
      </c>
      <c r="L15" s="21"/>
      <c r="M15" s="21"/>
      <c r="N15" s="22"/>
    </row>
    <row r="16" spans="1:14" ht="16" thickBot="1" x14ac:dyDescent="0.25">
      <c r="A16" s="8">
        <v>6</v>
      </c>
      <c r="B16" s="8" t="s">
        <v>59</v>
      </c>
      <c r="C16" s="9">
        <v>1</v>
      </c>
      <c r="D16" s="26">
        <v>1</v>
      </c>
      <c r="E16" s="27" t="s">
        <v>78</v>
      </c>
      <c r="F16" s="27"/>
      <c r="G16" s="27">
        <v>1</v>
      </c>
      <c r="H16" s="27" t="s">
        <v>59</v>
      </c>
      <c r="I16" s="27"/>
      <c r="J16" s="27"/>
      <c r="K16" s="27"/>
      <c r="L16" s="27"/>
      <c r="M16" s="27"/>
      <c r="N16" s="28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15388-3D96-4195-BA5C-919FBD66F199}">
  <dimension ref="A1:L15"/>
  <sheetViews>
    <sheetView workbookViewId="0"/>
  </sheetViews>
  <sheetFormatPr baseColWidth="10" defaultColWidth="8.83203125" defaultRowHeight="15" x14ac:dyDescent="0.2"/>
  <cols>
    <col min="1" max="1" width="9" bestFit="1" customWidth="1"/>
    <col min="2" max="2" width="17.1640625" bestFit="1" customWidth="1"/>
    <col min="3" max="3" width="19.6640625" bestFit="1" customWidth="1"/>
    <col min="4" max="4" width="18.83203125" bestFit="1" customWidth="1"/>
    <col min="5" max="5" width="18.1640625" bestFit="1" customWidth="1"/>
    <col min="6" max="6" width="10.5" bestFit="1" customWidth="1"/>
    <col min="8" max="8" width="20.33203125" bestFit="1" customWidth="1"/>
    <col min="9" max="9" width="8.83203125" bestFit="1" customWidth="1"/>
    <col min="10" max="10" width="7.5" bestFit="1" customWidth="1"/>
    <col min="11" max="11" width="8.5" bestFit="1" customWidth="1"/>
    <col min="12" max="12" width="12.5" bestFit="1" customWidth="1"/>
  </cols>
  <sheetData>
    <row r="1" spans="1:12" x14ac:dyDescent="0.2">
      <c r="A1" s="6" t="s">
        <v>66</v>
      </c>
      <c r="C1" s="6" t="s">
        <v>68</v>
      </c>
    </row>
    <row r="2" spans="1:12" x14ac:dyDescent="0.2">
      <c r="A2" t="s">
        <v>6</v>
      </c>
      <c r="C2" t="s">
        <v>12</v>
      </c>
    </row>
    <row r="3" spans="1:12" x14ac:dyDescent="0.2">
      <c r="A3" t="s">
        <v>60</v>
      </c>
      <c r="C3" t="s">
        <v>13</v>
      </c>
    </row>
    <row r="4" spans="1:12" x14ac:dyDescent="0.2">
      <c r="A4" t="s">
        <v>9</v>
      </c>
      <c r="C4" t="s">
        <v>14</v>
      </c>
    </row>
    <row r="5" spans="1:12" x14ac:dyDescent="0.2">
      <c r="A5" t="s">
        <v>10</v>
      </c>
      <c r="C5" t="s">
        <v>17</v>
      </c>
    </row>
    <row r="6" spans="1:12" x14ac:dyDescent="0.2">
      <c r="C6" t="s">
        <v>18</v>
      </c>
    </row>
    <row r="8" spans="1:12" x14ac:dyDescent="0.2">
      <c r="A8" t="s">
        <v>71</v>
      </c>
    </row>
    <row r="9" spans="1:12" ht="16" thickBot="1" x14ac:dyDescent="0.25">
      <c r="A9" t="s">
        <v>85</v>
      </c>
    </row>
    <row r="10" spans="1:12" ht="16" thickTop="1" x14ac:dyDescent="0.2">
      <c r="A10" s="49"/>
      <c r="B10" s="51"/>
      <c r="C10" s="52" t="s">
        <v>83</v>
      </c>
      <c r="D10" s="53"/>
      <c r="E10" s="53"/>
      <c r="F10" s="54"/>
      <c r="H10" s="70" t="s">
        <v>84</v>
      </c>
      <c r="I10" s="70"/>
      <c r="J10" s="70"/>
      <c r="K10" s="70"/>
      <c r="L10" s="70"/>
    </row>
    <row r="11" spans="1:12" x14ac:dyDescent="0.2">
      <c r="A11" s="50" t="s">
        <v>72</v>
      </c>
      <c r="B11" s="55" t="s">
        <v>67</v>
      </c>
      <c r="C11" s="56" t="s">
        <v>6</v>
      </c>
      <c r="D11" s="57" t="s">
        <v>60</v>
      </c>
      <c r="E11" s="57" t="s">
        <v>9</v>
      </c>
      <c r="F11" s="58" t="s">
        <v>10</v>
      </c>
      <c r="H11" s="70" t="s">
        <v>12</v>
      </c>
      <c r="I11" s="70" t="s">
        <v>13</v>
      </c>
      <c r="J11" s="70" t="s">
        <v>14</v>
      </c>
      <c r="K11" s="70" t="s">
        <v>17</v>
      </c>
      <c r="L11" s="70" t="s">
        <v>18</v>
      </c>
    </row>
    <row r="12" spans="1:12" x14ac:dyDescent="0.2">
      <c r="A12" s="47">
        <v>1</v>
      </c>
      <c r="B12" s="59" t="s">
        <v>27</v>
      </c>
      <c r="C12" s="60">
        <v>32</v>
      </c>
      <c r="D12" s="61">
        <v>0</v>
      </c>
      <c r="E12" s="61">
        <v>21</v>
      </c>
      <c r="F12" s="62">
        <v>800</v>
      </c>
      <c r="H12" s="71">
        <v>24.5</v>
      </c>
      <c r="I12" s="71">
        <v>7.6</v>
      </c>
      <c r="J12" s="71">
        <v>5</v>
      </c>
      <c r="K12" s="71">
        <v>18</v>
      </c>
      <c r="L12" s="71">
        <v>593.6</v>
      </c>
    </row>
    <row r="13" spans="1:12" x14ac:dyDescent="0.2">
      <c r="A13" s="47">
        <v>2</v>
      </c>
      <c r="B13" s="59" t="s">
        <v>37</v>
      </c>
      <c r="C13" s="63">
        <v>27.000000000000007</v>
      </c>
      <c r="D13" s="64">
        <v>7.1428571428571438E-2</v>
      </c>
      <c r="E13" s="64">
        <v>23.000000000000007</v>
      </c>
      <c r="F13" s="65">
        <v>100</v>
      </c>
      <c r="H13" s="71">
        <v>27.500000000000007</v>
      </c>
      <c r="I13" s="71">
        <v>8.2000000000000011</v>
      </c>
      <c r="J13" s="71">
        <v>7</v>
      </c>
      <c r="K13" s="71">
        <v>15.000000000000004</v>
      </c>
      <c r="L13" s="71">
        <v>259.70000000000022</v>
      </c>
    </row>
    <row r="14" spans="1:12" x14ac:dyDescent="0.2">
      <c r="A14" s="47">
        <v>3</v>
      </c>
      <c r="B14" s="59" t="s">
        <v>46</v>
      </c>
      <c r="C14" s="60">
        <v>24</v>
      </c>
      <c r="D14" s="61">
        <v>7.1428571428571425E-2</v>
      </c>
      <c r="E14" s="61">
        <v>22</v>
      </c>
      <c r="F14" s="62">
        <v>20</v>
      </c>
      <c r="H14" s="64">
        <v>25.5</v>
      </c>
      <c r="I14" s="64">
        <v>7.9</v>
      </c>
      <c r="J14" s="64">
        <v>4</v>
      </c>
      <c r="K14" s="64">
        <v>14</v>
      </c>
      <c r="L14" s="64">
        <v>514.9</v>
      </c>
    </row>
    <row r="15" spans="1:12" ht="16" thickBot="1" x14ac:dyDescent="0.25">
      <c r="A15" s="48">
        <v>4</v>
      </c>
      <c r="B15" s="66" t="s">
        <v>50</v>
      </c>
      <c r="C15" s="67">
        <v>33.999999999999993</v>
      </c>
      <c r="D15" s="68">
        <v>7.1428571428571411E-2</v>
      </c>
      <c r="E15" s="68">
        <v>17.599999999999998</v>
      </c>
      <c r="F15" s="69">
        <v>2474.9999999999995</v>
      </c>
      <c r="H15" s="88">
        <v>22.869999999999997</v>
      </c>
      <c r="I15" s="88">
        <v>7.4999999999999991</v>
      </c>
      <c r="J15" s="88">
        <v>2.9999999999999996</v>
      </c>
      <c r="K15" s="88">
        <v>16.999999999999996</v>
      </c>
      <c r="L15" s="88">
        <v>336.39999999999992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0CC91-57FB-41CD-8749-9BABF6C8B9FA}">
  <dimension ref="A1:K16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8.1640625" bestFit="1" customWidth="1"/>
    <col min="2" max="2" width="17.1640625" bestFit="1" customWidth="1"/>
    <col min="3" max="3" width="11.6640625" bestFit="1" customWidth="1"/>
    <col min="4" max="4" width="18.83203125" bestFit="1" customWidth="1"/>
    <col min="5" max="5" width="18.1640625" bestFit="1" customWidth="1"/>
    <col min="6" max="6" width="10" bestFit="1" customWidth="1"/>
    <col min="7" max="7" width="15.1640625" bestFit="1" customWidth="1"/>
    <col min="9" max="10" width="7.5" bestFit="1" customWidth="1"/>
    <col min="11" max="11" width="12.5" bestFit="1" customWidth="1"/>
  </cols>
  <sheetData>
    <row r="1" spans="1:11" x14ac:dyDescent="0.2">
      <c r="A1" s="6" t="s">
        <v>66</v>
      </c>
      <c r="C1" s="6" t="s">
        <v>68</v>
      </c>
    </row>
    <row r="2" spans="1:11" x14ac:dyDescent="0.2">
      <c r="A2" t="s">
        <v>6</v>
      </c>
      <c r="C2" t="s">
        <v>12</v>
      </c>
    </row>
    <row r="3" spans="1:11" x14ac:dyDescent="0.2">
      <c r="A3" t="s">
        <v>60</v>
      </c>
      <c r="C3" t="s">
        <v>13</v>
      </c>
    </row>
    <row r="4" spans="1:11" x14ac:dyDescent="0.2">
      <c r="A4" t="s">
        <v>9</v>
      </c>
      <c r="C4" t="s">
        <v>14</v>
      </c>
    </row>
    <row r="5" spans="1:11" x14ac:dyDescent="0.2">
      <c r="A5" t="s">
        <v>10</v>
      </c>
      <c r="C5" t="s">
        <v>17</v>
      </c>
    </row>
    <row r="6" spans="1:11" x14ac:dyDescent="0.2">
      <c r="C6" t="s">
        <v>18</v>
      </c>
    </row>
    <row r="8" spans="1:11" x14ac:dyDescent="0.2">
      <c r="A8" t="s">
        <v>71</v>
      </c>
    </row>
    <row r="9" spans="1:11" ht="16" thickBot="1" x14ac:dyDescent="0.25">
      <c r="A9" t="s">
        <v>80</v>
      </c>
    </row>
    <row r="10" spans="1:11" ht="16" thickTop="1" x14ac:dyDescent="0.2">
      <c r="A10" s="10"/>
      <c r="B10" s="10"/>
      <c r="C10" s="29" t="s">
        <v>81</v>
      </c>
      <c r="D10" s="31"/>
      <c r="E10" s="31"/>
      <c r="F10" s="33"/>
      <c r="G10" s="44" t="s">
        <v>82</v>
      </c>
      <c r="H10" s="44"/>
      <c r="I10" s="44"/>
      <c r="J10" s="44"/>
      <c r="K10" s="44"/>
    </row>
    <row r="11" spans="1:11" x14ac:dyDescent="0.2">
      <c r="A11" s="11" t="s">
        <v>72</v>
      </c>
      <c r="B11" s="11" t="s">
        <v>67</v>
      </c>
      <c r="C11" s="30" t="s">
        <v>6</v>
      </c>
      <c r="D11" s="32" t="s">
        <v>60</v>
      </c>
      <c r="E11" s="32" t="s">
        <v>9</v>
      </c>
      <c r="F11" s="34" t="s">
        <v>10</v>
      </c>
      <c r="G11" s="44" t="s">
        <v>12</v>
      </c>
      <c r="H11" s="44" t="s">
        <v>13</v>
      </c>
      <c r="I11" s="44" t="s">
        <v>14</v>
      </c>
      <c r="J11" s="44" t="s">
        <v>17</v>
      </c>
      <c r="K11" s="44" t="s">
        <v>18</v>
      </c>
    </row>
    <row r="12" spans="1:11" x14ac:dyDescent="0.2">
      <c r="A12">
        <v>1</v>
      </c>
      <c r="B12" t="s">
        <v>27</v>
      </c>
      <c r="C12" s="35">
        <v>0</v>
      </c>
      <c r="D12" s="36">
        <v>0</v>
      </c>
      <c r="E12" s="36">
        <v>0</v>
      </c>
      <c r="F12" s="37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</row>
    <row r="13" spans="1:11" x14ac:dyDescent="0.2">
      <c r="A13">
        <v>2</v>
      </c>
      <c r="B13" t="s">
        <v>37</v>
      </c>
      <c r="C13" s="38">
        <v>0</v>
      </c>
      <c r="D13" s="39">
        <v>0</v>
      </c>
      <c r="E13" s="39">
        <v>-3.5527136788005009E-15</v>
      </c>
      <c r="F13" s="40">
        <v>2.8421709430404007E-14</v>
      </c>
      <c r="G13" s="45">
        <v>7.1054273576010019E-15</v>
      </c>
      <c r="H13" s="45">
        <v>1.7763568394002505E-15</v>
      </c>
      <c r="I13" s="45">
        <v>0</v>
      </c>
      <c r="J13" s="45">
        <v>3.5527136788005009E-15</v>
      </c>
      <c r="K13" s="45">
        <v>2.2737367544323206E-13</v>
      </c>
    </row>
    <row r="14" spans="1:11" x14ac:dyDescent="0.2">
      <c r="A14">
        <v>3</v>
      </c>
      <c r="B14" t="s">
        <v>46</v>
      </c>
      <c r="C14" s="35">
        <v>0</v>
      </c>
      <c r="D14" s="36">
        <v>0</v>
      </c>
      <c r="E14" s="36">
        <v>0</v>
      </c>
      <c r="F14" s="37">
        <v>0</v>
      </c>
      <c r="G14" s="39">
        <v>0</v>
      </c>
      <c r="H14" s="39">
        <v>0</v>
      </c>
      <c r="I14" s="39">
        <v>0</v>
      </c>
      <c r="J14" s="39">
        <v>0</v>
      </c>
      <c r="K14" s="39">
        <v>0</v>
      </c>
    </row>
    <row r="15" spans="1:11" ht="16" thickBot="1" x14ac:dyDescent="0.25">
      <c r="A15" s="8">
        <v>4</v>
      </c>
      <c r="B15" s="8" t="s">
        <v>50</v>
      </c>
      <c r="C15" s="41">
        <v>7.1054273576010019E-15</v>
      </c>
      <c r="D15" s="42">
        <v>1.3877787807814457E-17</v>
      </c>
      <c r="E15" s="42">
        <v>3.5527136788005009E-15</v>
      </c>
      <c r="F15" s="43">
        <v>4.5474735088646412E-13</v>
      </c>
      <c r="G15" s="87">
        <v>-3.5527136788005009E-15</v>
      </c>
      <c r="H15" s="87">
        <v>-8.8817841970012523E-16</v>
      </c>
      <c r="I15" s="87">
        <v>-4.4408920985006262E-16</v>
      </c>
      <c r="J15" s="87">
        <v>-3.5527136788005009E-15</v>
      </c>
      <c r="K15" s="87">
        <v>-5.6843418860808015E-14</v>
      </c>
    </row>
    <row r="16" spans="1:11" x14ac:dyDescent="0.2">
      <c r="C16" s="7"/>
      <c r="D16" s="7"/>
      <c r="E16" s="7"/>
      <c r="F16" s="7"/>
      <c r="G16" s="7"/>
      <c r="H16" s="7"/>
      <c r="I16" s="7"/>
      <c r="J16" s="7"/>
      <c r="K16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8C2C8-BA51-4546-B4AE-31F301809103}">
  <dimension ref="A1:H14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7.1640625" bestFit="1" customWidth="1"/>
    <col min="3" max="3" width="12.5" bestFit="1" customWidth="1"/>
    <col min="5" max="5" width="8.33203125" bestFit="1" customWidth="1"/>
    <col min="7" max="7" width="16.5" bestFit="1" customWidth="1"/>
    <col min="8" max="8" width="17.1640625" bestFit="1" customWidth="1"/>
  </cols>
  <sheetData>
    <row r="1" spans="1:8" x14ac:dyDescent="0.2">
      <c r="A1" s="6" t="s">
        <v>66</v>
      </c>
      <c r="C1" s="6" t="s">
        <v>68</v>
      </c>
    </row>
    <row r="2" spans="1:8" x14ac:dyDescent="0.2">
      <c r="A2" t="s">
        <v>6</v>
      </c>
      <c r="C2" t="s">
        <v>12</v>
      </c>
    </row>
    <row r="3" spans="1:8" x14ac:dyDescent="0.2">
      <c r="A3" t="s">
        <v>60</v>
      </c>
      <c r="C3" t="s">
        <v>13</v>
      </c>
    </row>
    <row r="4" spans="1:8" x14ac:dyDescent="0.2">
      <c r="A4" t="s">
        <v>9</v>
      </c>
      <c r="C4" t="s">
        <v>14</v>
      </c>
    </row>
    <row r="5" spans="1:8" x14ac:dyDescent="0.2">
      <c r="A5" t="s">
        <v>10</v>
      </c>
      <c r="C5" t="s">
        <v>17</v>
      </c>
    </row>
    <row r="6" spans="1:8" x14ac:dyDescent="0.2">
      <c r="C6" t="s">
        <v>18</v>
      </c>
    </row>
    <row r="7" spans="1:8" ht="16" thickBot="1" x14ac:dyDescent="0.25"/>
    <row r="8" spans="1:8" ht="16" thickTop="1" x14ac:dyDescent="0.2">
      <c r="A8" s="12"/>
      <c r="B8" s="12"/>
      <c r="C8" s="12" t="s">
        <v>71</v>
      </c>
      <c r="D8" s="78"/>
      <c r="E8" s="79"/>
      <c r="F8" s="79"/>
      <c r="G8" s="79"/>
      <c r="H8" s="80"/>
    </row>
    <row r="9" spans="1:8" x14ac:dyDescent="0.2">
      <c r="A9" s="13"/>
      <c r="B9" s="13"/>
      <c r="C9" s="14" t="s">
        <v>73</v>
      </c>
      <c r="D9" s="81" t="s">
        <v>76</v>
      </c>
      <c r="E9" s="82"/>
      <c r="F9" s="82"/>
      <c r="G9" s="82" t="s">
        <v>74</v>
      </c>
      <c r="H9" s="83"/>
    </row>
    <row r="10" spans="1:8" x14ac:dyDescent="0.2">
      <c r="A10" s="15" t="s">
        <v>72</v>
      </c>
      <c r="B10" s="15" t="s">
        <v>67</v>
      </c>
      <c r="C10" s="16" t="s">
        <v>70</v>
      </c>
      <c r="D10" s="84" t="s">
        <v>69</v>
      </c>
      <c r="E10" s="85" t="s">
        <v>77</v>
      </c>
      <c r="F10" s="85"/>
      <c r="G10" s="85" t="s">
        <v>75</v>
      </c>
      <c r="H10" s="86"/>
    </row>
    <row r="11" spans="1:8" x14ac:dyDescent="0.2">
      <c r="A11">
        <v>1</v>
      </c>
      <c r="B11" t="s">
        <v>27</v>
      </c>
      <c r="C11" s="7">
        <v>1</v>
      </c>
      <c r="D11" s="20">
        <v>1</v>
      </c>
      <c r="E11" s="21" t="s">
        <v>78</v>
      </c>
      <c r="F11" s="21"/>
      <c r="G11" s="21">
        <v>1</v>
      </c>
      <c r="H11" s="22" t="s">
        <v>27</v>
      </c>
    </row>
    <row r="12" spans="1:8" x14ac:dyDescent="0.2">
      <c r="A12">
        <v>2</v>
      </c>
      <c r="B12" t="s">
        <v>37</v>
      </c>
      <c r="C12" s="7">
        <v>1</v>
      </c>
      <c r="D12" s="23">
        <v>1.0000000000000004</v>
      </c>
      <c r="E12" s="24" t="s">
        <v>78</v>
      </c>
      <c r="F12" s="24"/>
      <c r="G12" s="24">
        <v>0.99999999999999967</v>
      </c>
      <c r="H12" s="25" t="s">
        <v>37</v>
      </c>
    </row>
    <row r="13" spans="1:8" x14ac:dyDescent="0.2">
      <c r="A13">
        <v>3</v>
      </c>
      <c r="B13" t="s">
        <v>46</v>
      </c>
      <c r="C13" s="7">
        <v>1</v>
      </c>
      <c r="D13" s="20">
        <v>1</v>
      </c>
      <c r="E13" s="21" t="s">
        <v>78</v>
      </c>
      <c r="F13" s="21"/>
      <c r="G13" s="21">
        <v>1</v>
      </c>
      <c r="H13" s="22" t="s">
        <v>46</v>
      </c>
    </row>
    <row r="14" spans="1:8" ht="16" thickBot="1" x14ac:dyDescent="0.25">
      <c r="A14" s="8">
        <v>4</v>
      </c>
      <c r="B14" s="8" t="s">
        <v>50</v>
      </c>
      <c r="C14" s="9">
        <v>1</v>
      </c>
      <c r="D14" s="26">
        <v>0.99999999999999989</v>
      </c>
      <c r="E14" s="27" t="s">
        <v>78</v>
      </c>
      <c r="F14" s="27"/>
      <c r="G14" s="27">
        <v>0.99999999999999989</v>
      </c>
      <c r="H14" s="28" t="s">
        <v>50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4820-01FB-4AAB-B60E-7D6FC587FD75}">
  <dimension ref="A1:O19"/>
  <sheetViews>
    <sheetView workbookViewId="0"/>
  </sheetViews>
  <sheetFormatPr baseColWidth="10" defaultColWidth="8.83203125" defaultRowHeight="15" x14ac:dyDescent="0.2"/>
  <cols>
    <col min="1" max="1" width="9" bestFit="1" customWidth="1"/>
    <col min="2" max="2" width="15.5" bestFit="1" customWidth="1"/>
    <col min="3" max="3" width="19.6640625" bestFit="1" customWidth="1"/>
    <col min="4" max="4" width="18.83203125" bestFit="1" customWidth="1"/>
    <col min="5" max="5" width="27.1640625" bestFit="1" customWidth="1"/>
    <col min="6" max="6" width="18.1640625" bestFit="1" customWidth="1"/>
    <col min="7" max="7" width="10.5" bestFit="1" customWidth="1"/>
    <col min="8" max="8" width="25.5" bestFit="1" customWidth="1"/>
    <col min="9" max="9" width="16" bestFit="1" customWidth="1"/>
    <col min="10" max="10" width="9.1640625" bestFit="1" customWidth="1"/>
    <col min="12" max="12" width="20.33203125" bestFit="1" customWidth="1"/>
    <col min="13" max="13" width="11.33203125" bestFit="1" customWidth="1"/>
    <col min="14" max="14" width="8.5" bestFit="1" customWidth="1"/>
    <col min="15" max="15" width="12.5" bestFit="1" customWidth="1"/>
  </cols>
  <sheetData>
    <row r="1" spans="1:15" x14ac:dyDescent="0.2">
      <c r="A1" s="6" t="s">
        <v>66</v>
      </c>
      <c r="C1" s="6" t="s">
        <v>68</v>
      </c>
    </row>
    <row r="2" spans="1:15" x14ac:dyDescent="0.2">
      <c r="A2" t="s">
        <v>6</v>
      </c>
      <c r="C2" t="s">
        <v>14</v>
      </c>
    </row>
    <row r="3" spans="1:15" x14ac:dyDescent="0.2">
      <c r="A3" t="s">
        <v>60</v>
      </c>
      <c r="C3" t="s">
        <v>16</v>
      </c>
    </row>
    <row r="4" spans="1:15" x14ac:dyDescent="0.2">
      <c r="A4" t="s">
        <v>61</v>
      </c>
      <c r="C4" t="s">
        <v>17</v>
      </c>
    </row>
    <row r="5" spans="1:15" x14ac:dyDescent="0.2">
      <c r="A5" t="s">
        <v>9</v>
      </c>
      <c r="C5" t="s">
        <v>18</v>
      </c>
    </row>
    <row r="6" spans="1:15" x14ac:dyDescent="0.2">
      <c r="A6" t="s">
        <v>10</v>
      </c>
    </row>
    <row r="7" spans="1:15" x14ac:dyDescent="0.2">
      <c r="A7" t="s">
        <v>62</v>
      </c>
    </row>
    <row r="8" spans="1:15" x14ac:dyDescent="0.2">
      <c r="A8" t="s">
        <v>12</v>
      </c>
    </row>
    <row r="9" spans="1:15" x14ac:dyDescent="0.2">
      <c r="A9" t="s">
        <v>13</v>
      </c>
    </row>
    <row r="11" spans="1:15" x14ac:dyDescent="0.2">
      <c r="A11" t="s">
        <v>71</v>
      </c>
    </row>
    <row r="12" spans="1:15" ht="16" thickBot="1" x14ac:dyDescent="0.25">
      <c r="A12" t="s">
        <v>85</v>
      </c>
    </row>
    <row r="13" spans="1:15" ht="16" thickTop="1" x14ac:dyDescent="0.2">
      <c r="A13" s="49"/>
      <c r="B13" s="51"/>
      <c r="C13" s="52" t="s">
        <v>83</v>
      </c>
      <c r="D13" s="53"/>
      <c r="E13" s="53"/>
      <c r="F13" s="53"/>
      <c r="G13" s="53"/>
      <c r="H13" s="53"/>
      <c r="I13" s="53"/>
      <c r="J13" s="54"/>
      <c r="L13" s="70" t="s">
        <v>84</v>
      </c>
      <c r="M13" s="70"/>
      <c r="N13" s="70"/>
      <c r="O13" s="70"/>
    </row>
    <row r="14" spans="1:15" x14ac:dyDescent="0.2">
      <c r="A14" s="50" t="s">
        <v>72</v>
      </c>
      <c r="B14" s="55" t="s">
        <v>67</v>
      </c>
      <c r="C14" s="56" t="s">
        <v>6</v>
      </c>
      <c r="D14" s="57" t="s">
        <v>60</v>
      </c>
      <c r="E14" s="57" t="s">
        <v>61</v>
      </c>
      <c r="F14" s="57" t="s">
        <v>9</v>
      </c>
      <c r="G14" s="57" t="s">
        <v>10</v>
      </c>
      <c r="H14" s="57" t="s">
        <v>62</v>
      </c>
      <c r="I14" s="57" t="s">
        <v>12</v>
      </c>
      <c r="J14" s="58" t="s">
        <v>13</v>
      </c>
      <c r="L14" s="70" t="s">
        <v>14</v>
      </c>
      <c r="M14" s="70" t="s">
        <v>16</v>
      </c>
      <c r="N14" s="70" t="s">
        <v>17</v>
      </c>
      <c r="O14" s="70" t="s">
        <v>18</v>
      </c>
    </row>
    <row r="15" spans="1:15" x14ac:dyDescent="0.2">
      <c r="A15" s="47">
        <v>1</v>
      </c>
      <c r="B15" s="59" t="s">
        <v>24</v>
      </c>
      <c r="C15" s="60">
        <v>35.999999999999993</v>
      </c>
      <c r="D15" s="61">
        <v>0</v>
      </c>
      <c r="E15" s="61">
        <v>0.1386593204775024</v>
      </c>
      <c r="F15" s="61">
        <v>16.749999999999996</v>
      </c>
      <c r="G15" s="61">
        <v>1199.9999999999998</v>
      </c>
      <c r="H15" s="61">
        <v>0.3482634730538921</v>
      </c>
      <c r="I15" s="61">
        <v>26.849999999999994</v>
      </c>
      <c r="J15" s="62">
        <v>9.2499999999999982</v>
      </c>
      <c r="L15" s="71">
        <v>9</v>
      </c>
      <c r="M15" s="71">
        <v>222.00000000000003</v>
      </c>
      <c r="N15" s="71">
        <v>15.999999999999996</v>
      </c>
      <c r="O15" s="71">
        <v>728.89999999999986</v>
      </c>
    </row>
    <row r="16" spans="1:15" x14ac:dyDescent="0.2">
      <c r="A16" s="47">
        <v>2</v>
      </c>
      <c r="B16" s="59" t="s">
        <v>31</v>
      </c>
      <c r="C16" s="63">
        <v>29</v>
      </c>
      <c r="D16" s="64">
        <v>0</v>
      </c>
      <c r="E16" s="64">
        <v>0.35737540696218378</v>
      </c>
      <c r="F16" s="64">
        <v>23</v>
      </c>
      <c r="G16" s="64">
        <v>800</v>
      </c>
      <c r="H16" s="64">
        <v>0</v>
      </c>
      <c r="I16" s="64">
        <v>37</v>
      </c>
      <c r="J16" s="65">
        <v>8.9</v>
      </c>
      <c r="L16" s="71">
        <v>13</v>
      </c>
      <c r="M16" s="71">
        <v>370</v>
      </c>
      <c r="N16" s="71">
        <v>4</v>
      </c>
      <c r="O16" s="71">
        <v>363.1</v>
      </c>
    </row>
    <row r="17" spans="1:15" x14ac:dyDescent="0.2">
      <c r="A17" s="47">
        <v>3</v>
      </c>
      <c r="B17" s="59" t="s">
        <v>32</v>
      </c>
      <c r="C17" s="60">
        <v>36</v>
      </c>
      <c r="D17" s="61">
        <v>0</v>
      </c>
      <c r="E17" s="61">
        <v>0.4308372986058937</v>
      </c>
      <c r="F17" s="61">
        <v>18</v>
      </c>
      <c r="G17" s="61">
        <v>600</v>
      </c>
      <c r="H17" s="61">
        <v>0.27281437125748503</v>
      </c>
      <c r="I17" s="61">
        <v>23.31</v>
      </c>
      <c r="J17" s="62">
        <v>7.75</v>
      </c>
      <c r="L17" s="64">
        <v>14</v>
      </c>
      <c r="M17" s="64">
        <v>488</v>
      </c>
      <c r="N17" s="64">
        <v>20</v>
      </c>
      <c r="O17" s="64">
        <v>1115.2</v>
      </c>
    </row>
    <row r="18" spans="1:15" x14ac:dyDescent="0.2">
      <c r="A18" s="47">
        <v>4</v>
      </c>
      <c r="B18" s="59" t="s">
        <v>47</v>
      </c>
      <c r="C18" s="63">
        <v>22.276511322369647</v>
      </c>
      <c r="D18" s="64">
        <v>0.17561522913187375</v>
      </c>
      <c r="E18" s="64">
        <v>1.7830973729491713E-3</v>
      </c>
      <c r="F18" s="64">
        <v>18.514095284723524</v>
      </c>
      <c r="G18" s="64">
        <v>18.873962248200787</v>
      </c>
      <c r="H18" s="64">
        <v>0.51640730838126159</v>
      </c>
      <c r="I18" s="64">
        <v>30.009599974639588</v>
      </c>
      <c r="J18" s="65">
        <v>7.5718219346476143</v>
      </c>
      <c r="L18" s="64">
        <v>4.1556301887589928</v>
      </c>
      <c r="M18" s="64">
        <v>100.36420377095304</v>
      </c>
      <c r="N18" s="64">
        <v>4.9999999999999956</v>
      </c>
      <c r="O18" s="64">
        <v>147.1330673424745</v>
      </c>
    </row>
    <row r="19" spans="1:15" ht="16" thickBot="1" x14ac:dyDescent="0.25">
      <c r="A19" s="48">
        <v>5</v>
      </c>
      <c r="B19" s="66" t="s">
        <v>52</v>
      </c>
      <c r="C19" s="95">
        <v>26.999999999999989</v>
      </c>
      <c r="D19" s="96">
        <v>0.21428571428571419</v>
      </c>
      <c r="E19" s="96">
        <v>0</v>
      </c>
      <c r="F19" s="96">
        <v>22.499999999999989</v>
      </c>
      <c r="G19" s="96">
        <v>19.999999999999993</v>
      </c>
      <c r="H19" s="96">
        <v>0.62874251497005951</v>
      </c>
      <c r="I19" s="96">
        <v>36.499999999999986</v>
      </c>
      <c r="J19" s="97">
        <v>9.1999999999999957</v>
      </c>
      <c r="L19" s="72">
        <v>4.9999999999999982</v>
      </c>
      <c r="M19" s="72">
        <v>119.99999999999994</v>
      </c>
      <c r="N19" s="72">
        <v>5.9999999999999973</v>
      </c>
      <c r="O19" s="72">
        <v>173.89999999999992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5C08-79F9-4608-81EB-4512FD9302B4}">
  <dimension ref="A1:N20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5.5" bestFit="1" customWidth="1"/>
    <col min="3" max="3" width="11.6640625" bestFit="1" customWidth="1"/>
    <col min="4" max="4" width="18.83203125" bestFit="1" customWidth="1"/>
    <col min="5" max="5" width="27.1640625" bestFit="1" customWidth="1"/>
    <col min="6" max="6" width="18.1640625" bestFit="1" customWidth="1"/>
    <col min="7" max="7" width="10" bestFit="1" customWidth="1"/>
    <col min="8" max="8" width="25.5" bestFit="1" customWidth="1"/>
    <col min="9" max="9" width="16" bestFit="1" customWidth="1"/>
    <col min="10" max="10" width="9.1640625" bestFit="1" customWidth="1"/>
    <col min="11" max="11" width="12.5" bestFit="1" customWidth="1"/>
    <col min="12" max="12" width="11.33203125" bestFit="1" customWidth="1"/>
    <col min="13" max="13" width="7.5" bestFit="1" customWidth="1"/>
    <col min="14" max="14" width="12.5" bestFit="1" customWidth="1"/>
  </cols>
  <sheetData>
    <row r="1" spans="1:14" x14ac:dyDescent="0.2">
      <c r="A1" s="6" t="s">
        <v>66</v>
      </c>
      <c r="C1" s="6" t="s">
        <v>68</v>
      </c>
    </row>
    <row r="2" spans="1:14" x14ac:dyDescent="0.2">
      <c r="A2" t="s">
        <v>6</v>
      </c>
      <c r="C2" t="s">
        <v>14</v>
      </c>
    </row>
    <row r="3" spans="1:14" x14ac:dyDescent="0.2">
      <c r="A3" t="s">
        <v>60</v>
      </c>
      <c r="C3" t="s">
        <v>16</v>
      </c>
    </row>
    <row r="4" spans="1:14" x14ac:dyDescent="0.2">
      <c r="A4" t="s">
        <v>61</v>
      </c>
      <c r="C4" t="s">
        <v>17</v>
      </c>
    </row>
    <row r="5" spans="1:14" x14ac:dyDescent="0.2">
      <c r="A5" t="s">
        <v>9</v>
      </c>
      <c r="C5" t="s">
        <v>18</v>
      </c>
    </row>
    <row r="6" spans="1:14" x14ac:dyDescent="0.2">
      <c r="A6" t="s">
        <v>10</v>
      </c>
    </row>
    <row r="7" spans="1:14" x14ac:dyDescent="0.2">
      <c r="A7" t="s">
        <v>62</v>
      </c>
    </row>
    <row r="8" spans="1:14" x14ac:dyDescent="0.2">
      <c r="A8" t="s">
        <v>12</v>
      </c>
    </row>
    <row r="9" spans="1:14" x14ac:dyDescent="0.2">
      <c r="A9" t="s">
        <v>13</v>
      </c>
    </row>
    <row r="11" spans="1:14" x14ac:dyDescent="0.2">
      <c r="A11" t="s">
        <v>71</v>
      </c>
    </row>
    <row r="12" spans="1:14" ht="16" thickBot="1" x14ac:dyDescent="0.25">
      <c r="A12" t="s">
        <v>80</v>
      </c>
    </row>
    <row r="13" spans="1:14" ht="16" thickTop="1" x14ac:dyDescent="0.2">
      <c r="A13" s="10"/>
      <c r="B13" s="10"/>
      <c r="C13" s="29" t="s">
        <v>81</v>
      </c>
      <c r="D13" s="31"/>
      <c r="E13" s="31"/>
      <c r="F13" s="31"/>
      <c r="G13" s="31"/>
      <c r="H13" s="31"/>
      <c r="I13" s="31"/>
      <c r="J13" s="33"/>
      <c r="K13" s="44" t="s">
        <v>82</v>
      </c>
      <c r="L13" s="44"/>
      <c r="M13" s="44"/>
      <c r="N13" s="44"/>
    </row>
    <row r="14" spans="1:14" x14ac:dyDescent="0.2">
      <c r="A14" s="11" t="s">
        <v>72</v>
      </c>
      <c r="B14" s="11" t="s">
        <v>67</v>
      </c>
      <c r="C14" s="30" t="s">
        <v>6</v>
      </c>
      <c r="D14" s="32" t="s">
        <v>60</v>
      </c>
      <c r="E14" s="32" t="s">
        <v>61</v>
      </c>
      <c r="F14" s="32" t="s">
        <v>9</v>
      </c>
      <c r="G14" s="32" t="s">
        <v>10</v>
      </c>
      <c r="H14" s="32" t="s">
        <v>62</v>
      </c>
      <c r="I14" s="32" t="s">
        <v>12</v>
      </c>
      <c r="J14" s="34" t="s">
        <v>13</v>
      </c>
      <c r="K14" s="44" t="s">
        <v>14</v>
      </c>
      <c r="L14" s="44" t="s">
        <v>16</v>
      </c>
      <c r="M14" s="44" t="s">
        <v>17</v>
      </c>
      <c r="N14" s="44" t="s">
        <v>18</v>
      </c>
    </row>
    <row r="15" spans="1:14" x14ac:dyDescent="0.2">
      <c r="A15">
        <v>1</v>
      </c>
      <c r="B15" t="s">
        <v>24</v>
      </c>
      <c r="C15" s="35">
        <v>2.1316282072803006E-14</v>
      </c>
      <c r="D15" s="36">
        <v>0</v>
      </c>
      <c r="E15" s="36">
        <v>2.7755575615628914E-17</v>
      </c>
      <c r="F15" s="36">
        <v>1.0658141036401503E-14</v>
      </c>
      <c r="G15" s="36">
        <v>6.8212102632969618E-13</v>
      </c>
      <c r="H15" s="36">
        <v>2.7755575615628914E-16</v>
      </c>
      <c r="I15" s="36">
        <v>1.7763568394002505E-14</v>
      </c>
      <c r="J15" s="37">
        <v>5.3290705182007514E-15</v>
      </c>
      <c r="K15" s="45">
        <v>0</v>
      </c>
      <c r="L15" s="45">
        <v>2.8421709430404007E-14</v>
      </c>
      <c r="M15" s="45">
        <v>-3.5527136788005009E-15</v>
      </c>
      <c r="N15" s="45">
        <v>-1.1368683772161603E-13</v>
      </c>
    </row>
    <row r="16" spans="1:14" x14ac:dyDescent="0.2">
      <c r="A16">
        <v>2</v>
      </c>
      <c r="B16" t="s">
        <v>31</v>
      </c>
      <c r="C16" s="38">
        <v>0</v>
      </c>
      <c r="D16" s="39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40">
        <v>0</v>
      </c>
      <c r="K16" s="45">
        <v>0</v>
      </c>
      <c r="L16" s="45">
        <v>0</v>
      </c>
      <c r="M16" s="45">
        <v>0</v>
      </c>
      <c r="N16" s="45">
        <v>0</v>
      </c>
    </row>
    <row r="17" spans="1:14" x14ac:dyDescent="0.2">
      <c r="A17">
        <v>3</v>
      </c>
      <c r="B17" t="s">
        <v>32</v>
      </c>
      <c r="C17" s="35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7">
        <v>0</v>
      </c>
      <c r="K17" s="39">
        <v>0</v>
      </c>
      <c r="L17" s="39">
        <v>0</v>
      </c>
      <c r="M17" s="39">
        <v>0</v>
      </c>
      <c r="N17" s="39">
        <v>0</v>
      </c>
    </row>
    <row r="18" spans="1:14" x14ac:dyDescent="0.2">
      <c r="A18">
        <v>4</v>
      </c>
      <c r="B18" t="s">
        <v>47</v>
      </c>
      <c r="C18" s="38">
        <v>2.2596396002916457</v>
      </c>
      <c r="D18" s="39">
        <v>0.22882681904386179</v>
      </c>
      <c r="E18" s="39">
        <v>0.79869411443091709</v>
      </c>
      <c r="F18" s="39">
        <v>9.7968480875779633</v>
      </c>
      <c r="G18" s="39">
        <v>2.0605739337042905E-13</v>
      </c>
      <c r="H18" s="39">
        <v>0.2351606494063827</v>
      </c>
      <c r="I18" s="39">
        <v>-1.0658141036401503E-14</v>
      </c>
      <c r="J18" s="40">
        <v>1.0158308882838369</v>
      </c>
      <c r="K18" s="39">
        <v>2.1556301887589928</v>
      </c>
      <c r="L18" s="39">
        <v>74.36420377095304</v>
      </c>
      <c r="M18" s="39">
        <v>-4.4408920985006262E-15</v>
      </c>
      <c r="N18" s="39">
        <v>134.6330673424745</v>
      </c>
    </row>
    <row r="19" spans="1:14" ht="16" thickBot="1" x14ac:dyDescent="0.25">
      <c r="A19" s="8">
        <v>5</v>
      </c>
      <c r="B19" s="8" t="s">
        <v>52</v>
      </c>
      <c r="C19" s="92">
        <v>-7.1054273576010019E-15</v>
      </c>
      <c r="D19" s="93">
        <v>-5.5511151231257827E-17</v>
      </c>
      <c r="E19" s="93">
        <v>0</v>
      </c>
      <c r="F19" s="93">
        <v>-3.5527136788005009E-15</v>
      </c>
      <c r="G19" s="93">
        <v>-7.1054273576010019E-15</v>
      </c>
      <c r="H19" s="93">
        <v>-1.1102230246251565E-16</v>
      </c>
      <c r="I19" s="93">
        <v>-7.1054273576010019E-15</v>
      </c>
      <c r="J19" s="94">
        <v>-1.7763568394002505E-15</v>
      </c>
      <c r="K19" s="46">
        <v>-1.7763568394002505E-15</v>
      </c>
      <c r="L19" s="46">
        <v>-5.6843418860808015E-14</v>
      </c>
      <c r="M19" s="46">
        <v>-2.6645352591003757E-15</v>
      </c>
      <c r="N19" s="46">
        <v>-8.5265128291212022E-14</v>
      </c>
    </row>
    <row r="20" spans="1:14" x14ac:dyDescent="0.2"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808AF-F93B-4977-A70D-CA8F90A75185}">
  <dimension ref="A1:K18"/>
  <sheetViews>
    <sheetView workbookViewId="0"/>
  </sheetViews>
  <sheetFormatPr baseColWidth="10" defaultColWidth="8.83203125" defaultRowHeight="15" x14ac:dyDescent="0.2"/>
  <cols>
    <col min="1" max="1" width="8.1640625" bestFit="1" customWidth="1"/>
    <col min="2" max="2" width="15.5" bestFit="1" customWidth="1"/>
    <col min="3" max="3" width="12.5" bestFit="1" customWidth="1"/>
    <col min="4" max="4" width="7.83203125" bestFit="1" customWidth="1"/>
    <col min="5" max="5" width="9.1640625" bestFit="1" customWidth="1"/>
    <col min="7" max="7" width="15.1640625" bestFit="1" customWidth="1"/>
    <col min="8" max="8" width="15.5" bestFit="1" customWidth="1"/>
    <col min="10" max="10" width="5.5" bestFit="1" customWidth="1"/>
    <col min="11" max="11" width="15.5" bestFit="1" customWidth="1"/>
  </cols>
  <sheetData>
    <row r="1" spans="1:11" x14ac:dyDescent="0.2">
      <c r="A1" s="6" t="s">
        <v>66</v>
      </c>
      <c r="C1" s="6" t="s">
        <v>68</v>
      </c>
    </row>
    <row r="2" spans="1:11" x14ac:dyDescent="0.2">
      <c r="A2" t="s">
        <v>6</v>
      </c>
      <c r="C2" t="s">
        <v>14</v>
      </c>
    </row>
    <row r="3" spans="1:11" x14ac:dyDescent="0.2">
      <c r="A3" t="s">
        <v>60</v>
      </c>
      <c r="C3" t="s">
        <v>16</v>
      </c>
    </row>
    <row r="4" spans="1:11" x14ac:dyDescent="0.2">
      <c r="A4" t="s">
        <v>61</v>
      </c>
      <c r="C4" t="s">
        <v>17</v>
      </c>
    </row>
    <row r="5" spans="1:11" x14ac:dyDescent="0.2">
      <c r="A5" t="s">
        <v>9</v>
      </c>
      <c r="C5" t="s">
        <v>18</v>
      </c>
    </row>
    <row r="6" spans="1:11" x14ac:dyDescent="0.2">
      <c r="A6" t="s">
        <v>10</v>
      </c>
    </row>
    <row r="7" spans="1:11" x14ac:dyDescent="0.2">
      <c r="A7" t="s">
        <v>62</v>
      </c>
    </row>
    <row r="8" spans="1:11" x14ac:dyDescent="0.2">
      <c r="A8" t="s">
        <v>12</v>
      </c>
    </row>
    <row r="9" spans="1:11" x14ac:dyDescent="0.2">
      <c r="A9" t="s">
        <v>13</v>
      </c>
    </row>
    <row r="10" spans="1:11" ht="16" thickBot="1" x14ac:dyDescent="0.25"/>
    <row r="11" spans="1:11" ht="16" thickTop="1" x14ac:dyDescent="0.2">
      <c r="A11" s="12"/>
      <c r="B11" s="12"/>
      <c r="C11" s="12" t="s">
        <v>71</v>
      </c>
      <c r="D11" s="17"/>
      <c r="E11" s="18"/>
      <c r="F11" s="18"/>
      <c r="G11" s="18"/>
      <c r="H11" s="18"/>
      <c r="I11" s="18"/>
      <c r="J11" s="18"/>
      <c r="K11" s="19"/>
    </row>
    <row r="12" spans="1:11" x14ac:dyDescent="0.2">
      <c r="A12" s="13"/>
      <c r="B12" s="13"/>
      <c r="C12" s="14" t="s">
        <v>73</v>
      </c>
      <c r="D12" s="20" t="s">
        <v>76</v>
      </c>
      <c r="E12" s="21"/>
      <c r="F12" s="21"/>
      <c r="G12" s="21" t="s">
        <v>74</v>
      </c>
      <c r="H12" s="21"/>
      <c r="I12" s="21"/>
      <c r="J12" s="21"/>
      <c r="K12" s="22"/>
    </row>
    <row r="13" spans="1:11" x14ac:dyDescent="0.2">
      <c r="A13" s="15" t="s">
        <v>72</v>
      </c>
      <c r="B13" s="15" t="s">
        <v>67</v>
      </c>
      <c r="C13" s="16" t="s">
        <v>70</v>
      </c>
      <c r="D13" s="23" t="s">
        <v>69</v>
      </c>
      <c r="E13" s="24" t="s">
        <v>77</v>
      </c>
      <c r="F13" s="24"/>
      <c r="G13" s="24" t="s">
        <v>75</v>
      </c>
      <c r="H13" s="24"/>
      <c r="I13" s="24"/>
      <c r="J13" s="24"/>
      <c r="K13" s="25"/>
    </row>
    <row r="14" spans="1:11" x14ac:dyDescent="0.2">
      <c r="A14">
        <v>1</v>
      </c>
      <c r="B14" t="s">
        <v>24</v>
      </c>
      <c r="C14" s="7">
        <v>1</v>
      </c>
      <c r="D14" s="20">
        <v>0.99999999999999978</v>
      </c>
      <c r="E14" s="21" t="s">
        <v>78</v>
      </c>
      <c r="F14" s="21"/>
      <c r="G14" s="21">
        <v>0.99999999999999956</v>
      </c>
      <c r="H14" s="21" t="s">
        <v>24</v>
      </c>
      <c r="I14" s="21"/>
      <c r="J14" s="21"/>
      <c r="K14" s="22"/>
    </row>
    <row r="15" spans="1:11" x14ac:dyDescent="0.2">
      <c r="A15">
        <v>2</v>
      </c>
      <c r="B15" t="s">
        <v>31</v>
      </c>
      <c r="C15" s="7">
        <v>1</v>
      </c>
      <c r="D15" s="23">
        <v>1</v>
      </c>
      <c r="E15" s="24" t="s">
        <v>78</v>
      </c>
      <c r="F15" s="24"/>
      <c r="G15" s="24">
        <v>1</v>
      </c>
      <c r="H15" s="24" t="s">
        <v>31</v>
      </c>
      <c r="I15" s="24"/>
      <c r="J15" s="24"/>
      <c r="K15" s="25"/>
    </row>
    <row r="16" spans="1:11" x14ac:dyDescent="0.2">
      <c r="A16">
        <v>3</v>
      </c>
      <c r="B16" t="s">
        <v>32</v>
      </c>
      <c r="C16" s="7">
        <v>1</v>
      </c>
      <c r="D16" s="20">
        <v>1</v>
      </c>
      <c r="E16" s="21" t="s">
        <v>78</v>
      </c>
      <c r="F16" s="21"/>
      <c r="G16" s="21">
        <v>1</v>
      </c>
      <c r="H16" s="21" t="s">
        <v>32</v>
      </c>
      <c r="I16" s="21"/>
      <c r="J16" s="21"/>
      <c r="K16" s="22"/>
    </row>
    <row r="17" spans="1:11" x14ac:dyDescent="0.2">
      <c r="A17">
        <v>4</v>
      </c>
      <c r="B17" t="s">
        <v>47</v>
      </c>
      <c r="C17" s="7">
        <v>0.94369811241004964</v>
      </c>
      <c r="D17" s="23">
        <v>0.82367641516412071</v>
      </c>
      <c r="E17" s="24" t="s">
        <v>79</v>
      </c>
      <c r="F17" s="24"/>
      <c r="G17" s="24">
        <v>4.1386792153765006E-3</v>
      </c>
      <c r="H17" s="24" t="s">
        <v>32</v>
      </c>
      <c r="I17" s="24"/>
      <c r="J17" s="24">
        <v>0.81953773594874424</v>
      </c>
      <c r="K17" s="25" t="s">
        <v>52</v>
      </c>
    </row>
    <row r="18" spans="1:11" ht="16" thickBot="1" x14ac:dyDescent="0.25">
      <c r="A18" s="8">
        <v>5</v>
      </c>
      <c r="B18" s="8" t="s">
        <v>52</v>
      </c>
      <c r="C18" s="9">
        <v>1</v>
      </c>
      <c r="D18" s="89">
        <v>0.99999999999999956</v>
      </c>
      <c r="E18" s="90" t="s">
        <v>78</v>
      </c>
      <c r="F18" s="90"/>
      <c r="G18" s="90">
        <v>0.99999999999999956</v>
      </c>
      <c r="H18" s="90" t="s">
        <v>52</v>
      </c>
      <c r="I18" s="90"/>
      <c r="J18" s="90"/>
      <c r="K18" s="91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287FA-EDDE-460E-BDCA-F1A2CEC3FC66}">
  <dimension ref="A1:N6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7.83203125" bestFit="1" customWidth="1"/>
    <col min="2" max="2" width="19.33203125" bestFit="1" customWidth="1"/>
  </cols>
  <sheetData>
    <row r="1" spans="1:14" ht="16" x14ac:dyDescent="0.2">
      <c r="A1" s="1" t="s">
        <v>65</v>
      </c>
      <c r="B1" s="2" t="s">
        <v>6</v>
      </c>
      <c r="C1" s="2" t="s">
        <v>60</v>
      </c>
      <c r="D1" s="2" t="s">
        <v>61</v>
      </c>
      <c r="E1" s="2" t="s">
        <v>9</v>
      </c>
      <c r="F1" s="2" t="s">
        <v>10</v>
      </c>
      <c r="G1" s="2" t="s">
        <v>62</v>
      </c>
      <c r="H1" s="2" t="s">
        <v>12</v>
      </c>
      <c r="I1" s="2" t="s">
        <v>13</v>
      </c>
      <c r="K1" s="3" t="s">
        <v>14</v>
      </c>
      <c r="L1" s="3" t="s">
        <v>16</v>
      </c>
      <c r="M1" s="3" t="s">
        <v>17</v>
      </c>
      <c r="N1" s="3" t="s">
        <v>18</v>
      </c>
    </row>
    <row r="2" spans="1:14" x14ac:dyDescent="0.2">
      <c r="A2" t="s">
        <v>24</v>
      </c>
      <c r="B2">
        <v>36</v>
      </c>
      <c r="C2">
        <v>0</v>
      </c>
      <c r="D2">
        <v>0.13865932047750237</v>
      </c>
      <c r="E2">
        <v>16.75</v>
      </c>
      <c r="F2">
        <v>1200</v>
      </c>
      <c r="G2">
        <v>0.34826347305389221</v>
      </c>
      <c r="H2">
        <v>26.85</v>
      </c>
      <c r="I2">
        <v>9.25</v>
      </c>
      <c r="K2">
        <v>9</v>
      </c>
      <c r="L2">
        <v>222</v>
      </c>
      <c r="M2">
        <v>16</v>
      </c>
      <c r="N2">
        <v>728.9</v>
      </c>
    </row>
    <row r="3" spans="1:14" x14ac:dyDescent="0.2">
      <c r="A3" t="s">
        <v>31</v>
      </c>
      <c r="B3">
        <v>29</v>
      </c>
      <c r="C3">
        <v>0</v>
      </c>
      <c r="D3">
        <v>0.35737540696218378</v>
      </c>
      <c r="E3">
        <v>23</v>
      </c>
      <c r="F3">
        <v>800</v>
      </c>
      <c r="G3">
        <v>0</v>
      </c>
      <c r="H3">
        <v>37</v>
      </c>
      <c r="I3">
        <v>8.9</v>
      </c>
      <c r="K3">
        <v>13</v>
      </c>
      <c r="L3">
        <v>370</v>
      </c>
      <c r="M3">
        <v>4</v>
      </c>
      <c r="N3">
        <v>363.1</v>
      </c>
    </row>
    <row r="4" spans="1:14" x14ac:dyDescent="0.2">
      <c r="A4" t="s">
        <v>32</v>
      </c>
      <c r="B4">
        <v>36</v>
      </c>
      <c r="C4">
        <v>0</v>
      </c>
      <c r="D4">
        <v>0.4308372986058937</v>
      </c>
      <c r="E4">
        <v>18</v>
      </c>
      <c r="F4">
        <v>600</v>
      </c>
      <c r="G4">
        <v>0.27281437125748503</v>
      </c>
      <c r="H4">
        <v>23.31</v>
      </c>
      <c r="I4">
        <v>7.75</v>
      </c>
      <c r="K4">
        <v>14</v>
      </c>
      <c r="L4">
        <v>488</v>
      </c>
      <c r="M4">
        <v>20</v>
      </c>
      <c r="N4">
        <v>1115.2</v>
      </c>
    </row>
    <row r="5" spans="1:14" x14ac:dyDescent="0.2">
      <c r="A5" t="s">
        <v>47</v>
      </c>
      <c r="B5">
        <v>26</v>
      </c>
      <c r="C5">
        <v>0.42857142857142855</v>
      </c>
      <c r="D5">
        <v>0.84823441021788126</v>
      </c>
      <c r="E5">
        <v>30</v>
      </c>
      <c r="F5">
        <v>20</v>
      </c>
      <c r="G5">
        <v>0.79640718562874246</v>
      </c>
      <c r="H5">
        <v>31.8</v>
      </c>
      <c r="I5">
        <v>9.1</v>
      </c>
      <c r="K5">
        <v>2</v>
      </c>
      <c r="L5">
        <v>26</v>
      </c>
      <c r="M5">
        <v>5</v>
      </c>
      <c r="N5">
        <v>12.5</v>
      </c>
    </row>
    <row r="6" spans="1:14" x14ac:dyDescent="0.2">
      <c r="A6" t="s">
        <v>52</v>
      </c>
      <c r="B6">
        <v>27</v>
      </c>
      <c r="C6">
        <v>0.21428571428571427</v>
      </c>
      <c r="D6">
        <v>0</v>
      </c>
      <c r="E6">
        <v>22.5</v>
      </c>
      <c r="F6">
        <v>20</v>
      </c>
      <c r="G6">
        <v>0.62874251497005984</v>
      </c>
      <c r="H6">
        <v>36.5</v>
      </c>
      <c r="I6">
        <v>9.1999999999999993</v>
      </c>
      <c r="K6">
        <v>5</v>
      </c>
      <c r="L6">
        <v>120</v>
      </c>
      <c r="M6">
        <v>6</v>
      </c>
      <c r="N6">
        <v>173.9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Main</vt:lpstr>
      <vt:lpstr>TOPSIS-Bowlers</vt:lpstr>
      <vt:lpstr>TOPSIS-All rounders</vt:lpstr>
      <vt:lpstr>TOPSIS-Batters</vt:lpstr>
      <vt:lpstr>Target-Batters</vt:lpstr>
      <vt:lpstr>Slack-Batters</vt:lpstr>
      <vt:lpstr>Efficiency-Batters</vt:lpstr>
      <vt:lpstr>Target-Bowlers</vt:lpstr>
      <vt:lpstr>Slack-Bowlers</vt:lpstr>
      <vt:lpstr>Efficiency-Bowlers</vt:lpstr>
      <vt:lpstr>Target-All rounders</vt:lpstr>
      <vt:lpstr>Slack-All rounders</vt:lpstr>
      <vt:lpstr>Efficiency-All rounders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 Majumder</dc:creator>
  <cp:lastModifiedBy>Chiradip Lahiri</cp:lastModifiedBy>
  <dcterms:created xsi:type="dcterms:W3CDTF">2024-08-18T14:42:48Z</dcterms:created>
  <dcterms:modified xsi:type="dcterms:W3CDTF">2024-08-18T18:06:56Z</dcterms:modified>
</cp:coreProperties>
</file>