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radiplahiri/Desktop/IIM Trichy notes/Trimester-4/DAM Total/DAM_mine/DAM Final Project/"/>
    </mc:Choice>
  </mc:AlternateContent>
  <xr:revisionPtr revIDLastSave="0" documentId="13_ncr:1_{698E2EC6-04E8-AF4E-838A-962CF63352B6}" xr6:coauthVersionLast="47" xr6:coauthVersionMax="47" xr10:uidLastSave="{00000000-0000-0000-0000-000000000000}"/>
  <bookViews>
    <workbookView xWindow="0" yWindow="740" windowWidth="29400" windowHeight="16760" activeTab="5" xr2:uid="{A793ABAC-0222-CE44-8D07-81F95C4087C2}"/>
  </bookViews>
  <sheets>
    <sheet name="Batter List" sheetId="2" r:id="rId1"/>
    <sheet name="Bowler List" sheetId="3" r:id="rId2"/>
    <sheet name="Allrounders List" sheetId="4" r:id="rId3"/>
    <sheet name="Batting Selection" sheetId="5" r:id="rId4"/>
    <sheet name="Bowling Selection" sheetId="6" r:id="rId5"/>
    <sheet name="All Rounder Selection" sheetId="7" r:id="rId6"/>
  </sheets>
  <definedNames>
    <definedName name="_xlnm._FilterDatabase" localSheetId="5" hidden="1">'All Rounder Selection'!$A$1:$G$47</definedName>
    <definedName name="_xlnm._FilterDatabase" localSheetId="2" hidden="1">'Allrounders List'!$A$1:$K$47</definedName>
    <definedName name="_xlnm._FilterDatabase" localSheetId="0" hidden="1">'Batter List'!$A$1:$K$46</definedName>
    <definedName name="_xlnm._FilterDatabase" localSheetId="3" hidden="1">'Batting Selection'!$A$1:$G$46</definedName>
    <definedName name="_xlnm._FilterDatabase" localSheetId="1" hidden="1">'Bowler List'!$A$1:$I$45</definedName>
    <definedName name="_xlnm._FilterDatabase" localSheetId="4" hidden="1">'Bowling Selection'!$A$1:$H$45</definedName>
    <definedName name="solver_adj" localSheetId="5" hidden="1">'All Rounder Selection'!$C$2:$C$47</definedName>
    <definedName name="solver_adj" localSheetId="3" hidden="1">'Batting Selection'!$C$2:$C$46</definedName>
    <definedName name="solver_adj" localSheetId="4" hidden="1">'Bowling Selection'!$C$2:$C$45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lhs1" localSheetId="5" hidden="1">'All Rounder Selection'!$C$2:$C$47</definedName>
    <definedName name="solver_lhs1" localSheetId="3" hidden="1">'Batting Selection'!$C$2:$C$46</definedName>
    <definedName name="solver_lhs1" localSheetId="4" hidden="1">'Bowling Selection'!$C$2:$C$45</definedName>
    <definedName name="solver_lhs2" localSheetId="5" hidden="1">'All Rounder Selection'!$C$51</definedName>
    <definedName name="solver_lhs2" localSheetId="3" hidden="1">'Batting Selection'!$C$48</definedName>
    <definedName name="solver_lhs2" localSheetId="4" hidden="1">'Bowling Selection'!$C$47</definedName>
    <definedName name="solver_lhs3" localSheetId="5" hidden="1">'All Rounder Selection'!$C$51</definedName>
    <definedName name="solver_lhs3" localSheetId="3" hidden="1">'Batting Selection'!$C$48</definedName>
    <definedName name="solver_lhs3" localSheetId="4" hidden="1">'Bowling Selection'!$C$47</definedName>
    <definedName name="solver_lhs4" localSheetId="5" hidden="1">'All Rounder Selection'!$C$56</definedName>
    <definedName name="solver_lhs4" localSheetId="3" hidden="1">'Batting Selection'!$C$56</definedName>
    <definedName name="solver_lhs4" localSheetId="4" hidden="1">'Bowling Selection'!$C$55</definedName>
    <definedName name="solver_lhs5" localSheetId="5" hidden="1">'All Rounder Selection'!$F$50</definedName>
    <definedName name="solver_lhs5" localSheetId="3" hidden="1">'Batting Selection'!$G$2:$G$46</definedName>
    <definedName name="solver_lin" localSheetId="5" hidden="1">2</definedName>
    <definedName name="solver_lin" localSheetId="3" hidden="1">2</definedName>
    <definedName name="solver_lin" localSheetId="4" hidden="1">2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um" localSheetId="5" hidden="1">5</definedName>
    <definedName name="solver_num" localSheetId="3" hidden="1">4</definedName>
    <definedName name="solver_num" localSheetId="4" hidden="1">4</definedName>
    <definedName name="solver_opt" localSheetId="5" hidden="1">'All Rounder Selection'!$F$53</definedName>
    <definedName name="solver_opt" localSheetId="3" hidden="1">'Batting Selection'!$C$59</definedName>
    <definedName name="solver_opt" localSheetId="4" hidden="1">'Bowling Selection'!$C$58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rbv" localSheetId="5" hidden="1">1</definedName>
    <definedName name="solver_rbv" localSheetId="3" hidden="1">1</definedName>
    <definedName name="solver_rbv" localSheetId="4" hidden="1">1</definedName>
    <definedName name="solver_rel1" localSheetId="5" hidden="1">5</definedName>
    <definedName name="solver_rel1" localSheetId="3" hidden="1">5</definedName>
    <definedName name="solver_rel1" localSheetId="4" hidden="1">5</definedName>
    <definedName name="solver_rel2" localSheetId="5" hidden="1">1</definedName>
    <definedName name="solver_rel2" localSheetId="3" hidden="1">1</definedName>
    <definedName name="solver_rel2" localSheetId="4" hidden="1">1</definedName>
    <definedName name="solver_rel3" localSheetId="5" hidden="1">3</definedName>
    <definedName name="solver_rel3" localSheetId="3" hidden="1">3</definedName>
    <definedName name="solver_rel3" localSheetId="4" hidden="1">3</definedName>
    <definedName name="solver_rel4" localSheetId="5" hidden="1">1</definedName>
    <definedName name="solver_rel4" localSheetId="3" hidden="1">1</definedName>
    <definedName name="solver_rel4" localSheetId="4" hidden="1">1</definedName>
    <definedName name="solver_rel5" localSheetId="5" hidden="1">1</definedName>
    <definedName name="solver_rel5" localSheetId="3" hidden="1">3</definedName>
    <definedName name="solver_rhs1" localSheetId="5" hidden="1">"binary"</definedName>
    <definedName name="solver_rhs1" localSheetId="3" hidden="1">"binary"</definedName>
    <definedName name="solver_rhs1" localSheetId="4" hidden="1">"binary"</definedName>
    <definedName name="solver_rhs2" localSheetId="5" hidden="1">'All Rounder Selection'!$C$54</definedName>
    <definedName name="solver_rhs2" localSheetId="3" hidden="1">'Batting Selection'!$C$51</definedName>
    <definedName name="solver_rhs2" localSheetId="4" hidden="1">'Bowling Selection'!$C$50</definedName>
    <definedName name="solver_rhs3" localSheetId="5" hidden="1">'All Rounder Selection'!$C$53</definedName>
    <definedName name="solver_rhs3" localSheetId="3" hidden="1">'Batting Selection'!$C$50</definedName>
    <definedName name="solver_rhs3" localSheetId="4" hidden="1">'Bowling Selection'!$C$49</definedName>
    <definedName name="solver_rhs4" localSheetId="5" hidden="1">'All Rounder Selection'!$C$58</definedName>
    <definedName name="solver_rhs4" localSheetId="3" hidden="1">'Batting Selection'!$C$57</definedName>
    <definedName name="solver_rhs4" localSheetId="4" hidden="1">'Bowling Selection'!$C$56</definedName>
    <definedName name="solver_rhs5" localSheetId="5" hidden="1">'All Rounder Selection'!$F$51</definedName>
    <definedName name="solver_rhs5" localSheetId="3" hidden="1">135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scl" localSheetId="5" hidden="1">1</definedName>
    <definedName name="solver_scl" localSheetId="3" hidden="1">1</definedName>
    <definedName name="solver_scl" localSheetId="4" hidden="1">1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yp" localSheetId="5" hidden="1">1</definedName>
    <definedName name="solver_typ" localSheetId="3" hidden="1">1</definedName>
    <definedName name="solver_typ" localSheetId="4" hidden="1">2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er" localSheetId="5" hidden="1">2</definedName>
    <definedName name="solver_ver" localSheetId="3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7" l="1"/>
  <c r="F53" i="7"/>
  <c r="C5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2" i="7"/>
  <c r="D47" i="7"/>
  <c r="D46" i="7"/>
  <c r="D4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2" i="7"/>
  <c r="C56" i="7" s="1"/>
  <c r="C58" i="6"/>
  <c r="C4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2" i="5"/>
  <c r="C59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2" i="5"/>
  <c r="C48" i="5"/>
  <c r="F50" i="7" l="1"/>
  <c r="C52" i="6"/>
  <c r="C55" i="6"/>
  <c r="C56" i="5"/>
  <c r="C53" i="5"/>
</calcChain>
</file>

<file path=xl/sharedStrings.xml><?xml version="1.0" encoding="utf-8"?>
<sst xmlns="http://schemas.openxmlformats.org/spreadsheetml/2006/main" count="800" uniqueCount="229">
  <si>
    <t>Player</t>
  </si>
  <si>
    <t>Matches</t>
  </si>
  <si>
    <t>Wickets</t>
  </si>
  <si>
    <t>Chetan Sakariya</t>
  </si>
  <si>
    <t>Economy</t>
  </si>
  <si>
    <t>Batting Average</t>
  </si>
  <si>
    <t>Bowling Average</t>
  </si>
  <si>
    <t>Impact Points</t>
  </si>
  <si>
    <t>Players</t>
  </si>
  <si>
    <t>Cost Incurred</t>
  </si>
  <si>
    <t>Rank</t>
  </si>
  <si>
    <t>Team</t>
  </si>
  <si>
    <t>Runs</t>
  </si>
  <si>
    <t>Average</t>
  </si>
  <si>
    <t>Strike Rate</t>
  </si>
  <si>
    <t>50s</t>
  </si>
  <si>
    <t>100s</t>
  </si>
  <si>
    <t>Jake Fraser-McGurk</t>
  </si>
  <si>
    <t>Delhi</t>
  </si>
  <si>
    <t>Abishek Porel</t>
  </si>
  <si>
    <t>Bangalore</t>
  </si>
  <si>
    <t>Ishan Kishan</t>
  </si>
  <si>
    <t>Mumbai</t>
  </si>
  <si>
    <t>Daryl Mitchell</t>
  </si>
  <si>
    <t>Chennai</t>
  </si>
  <si>
    <t>Nitish Kumar Reddy</t>
  </si>
  <si>
    <t>Hyderabad</t>
  </si>
  <si>
    <t>Jonny Bairstow</t>
  </si>
  <si>
    <t>Punjab</t>
  </si>
  <si>
    <t>Sam Curran</t>
  </si>
  <si>
    <t>Ravindra Jadeja</t>
  </si>
  <si>
    <t>Cameron Green</t>
  </si>
  <si>
    <t>Quinton de Kock</t>
  </si>
  <si>
    <t>Lucknow</t>
  </si>
  <si>
    <t>Ajinkya Rahane</t>
  </si>
  <si>
    <t>Tim David</t>
  </si>
  <si>
    <t>Axar Patel</t>
  </si>
  <si>
    <t>Ayush Badoni</t>
  </si>
  <si>
    <t>Will Jacks</t>
  </si>
  <si>
    <t>Rachin Ravindra</t>
  </si>
  <si>
    <t>Aiden Markram</t>
  </si>
  <si>
    <t>Hardik Pandya</t>
  </si>
  <si>
    <t>Shahbaz Ahmed</t>
  </si>
  <si>
    <t>Rilee Rossouw</t>
  </si>
  <si>
    <t>David Miller</t>
  </si>
  <si>
    <t>Gujarat</t>
  </si>
  <si>
    <t>Prithvi Shaw</t>
  </si>
  <si>
    <t>Dhruv Chand Jurel</t>
  </si>
  <si>
    <t>Rajasthan</t>
  </si>
  <si>
    <t>Ashutosh Sharma</t>
  </si>
  <si>
    <t>Rahul Tewatia</t>
  </si>
  <si>
    <t>Jitesh Sharma</t>
  </si>
  <si>
    <t>Shai Hope</t>
  </si>
  <si>
    <t>Abdul Samad</t>
  </si>
  <si>
    <t>David Warner</t>
  </si>
  <si>
    <t>Rahul Tripathi</t>
  </si>
  <si>
    <t>MS Dhoni</t>
  </si>
  <si>
    <t>Shikhar Dhawan</t>
  </si>
  <si>
    <t>Deepak Hooda</t>
  </si>
  <si>
    <t>Naman Dhir</t>
  </si>
  <si>
    <t>Pat Cummins</t>
  </si>
  <si>
    <t>Wriddhiman Saha</t>
  </si>
  <si>
    <t>Krunal Pandya</t>
  </si>
  <si>
    <t>Moeen Ali</t>
  </si>
  <si>
    <t>Shahrukh Khan</t>
  </si>
  <si>
    <t>Mahipal Lomror</t>
  </si>
  <si>
    <t>Shimron Hetmyer</t>
  </si>
  <si>
    <t>Rassie van der Dussen</t>
  </si>
  <si>
    <t>Harpreet Singh Bhatia</t>
  </si>
  <si>
    <t>Lalit Yadav</t>
  </si>
  <si>
    <t>Shubman Gill</t>
  </si>
  <si>
    <t>Price (INR)</t>
  </si>
  <si>
    <t>2 Crore</t>
  </si>
  <si>
    <t>50 Lakhs</t>
  </si>
  <si>
    <t>15.25 Crore</t>
  </si>
  <si>
    <t>5 Crore</t>
  </si>
  <si>
    <t>1 Crore</t>
  </si>
  <si>
    <t>6.75 Crore</t>
  </si>
  <si>
    <t>18.5 Crore</t>
  </si>
  <si>
    <t>16 Crore</t>
  </si>
  <si>
    <t>17.5 Crore</t>
  </si>
  <si>
    <t>7 Crore</t>
  </si>
  <si>
    <t>8.25 Crore</t>
  </si>
  <si>
    <t>9 Crore</t>
  </si>
  <si>
    <t>20 Lakhs</t>
  </si>
  <si>
    <t>3.2 Crore</t>
  </si>
  <si>
    <t>2.6 Crore</t>
  </si>
  <si>
    <t>15 Crore</t>
  </si>
  <si>
    <t>3 Crore</t>
  </si>
  <si>
    <t>4 Crore</t>
  </si>
  <si>
    <t>7.5 Crore</t>
  </si>
  <si>
    <t>75 Lakhs</t>
  </si>
  <si>
    <t>6.25 Crore</t>
  </si>
  <si>
    <t>3.4 Crore</t>
  </si>
  <si>
    <t>12 Crore</t>
  </si>
  <si>
    <t>5.75 Crore</t>
  </si>
  <si>
    <t>20.5 Crore</t>
  </si>
  <si>
    <t>1.9 Crore</t>
  </si>
  <si>
    <t>8 Crore</t>
  </si>
  <si>
    <t>7.75 Crore</t>
  </si>
  <si>
    <t>40 Lakhs</t>
  </si>
  <si>
    <t>30 Lakhs</t>
  </si>
  <si>
    <t>Auction Price (INR)</t>
  </si>
  <si>
    <t>SRH</t>
  </si>
  <si>
    <t>Yuzvendra Chahal</t>
  </si>
  <si>
    <t>RR</t>
  </si>
  <si>
    <t>Rashid Khan</t>
  </si>
  <si>
    <t>GT</t>
  </si>
  <si>
    <t>Arshdeep Singh</t>
  </si>
  <si>
    <t>PBKS</t>
  </si>
  <si>
    <t>11.75 Crore</t>
  </si>
  <si>
    <t>Harshal Patel</t>
  </si>
  <si>
    <t>Mohammed Siraj</t>
  </si>
  <si>
    <t>RCB</t>
  </si>
  <si>
    <t>DC</t>
  </si>
  <si>
    <t>Trent Boult</t>
  </si>
  <si>
    <t>Bhuvneshwar Kumar</t>
  </si>
  <si>
    <t>6 Crore</t>
  </si>
  <si>
    <t>Kagiso Rabada</t>
  </si>
  <si>
    <t>9.25 Crore</t>
  </si>
  <si>
    <t>Jasprit Bumrah</t>
  </si>
  <si>
    <t>MI</t>
  </si>
  <si>
    <t>Mukesh Kumar</t>
  </si>
  <si>
    <t>Mohammad Shami</t>
  </si>
  <si>
    <t>T Natarajan</t>
  </si>
  <si>
    <t>Shivam Mavi</t>
  </si>
  <si>
    <t>6.4 Crore</t>
  </si>
  <si>
    <t>Kuldeep Yadav</t>
  </si>
  <si>
    <t>Avesh Khan</t>
  </si>
  <si>
    <t>LSG</t>
  </si>
  <si>
    <t>10 Crore</t>
  </si>
  <si>
    <t>Yash Dayal</t>
  </si>
  <si>
    <t>Ravichandran Ashwin</t>
  </si>
  <si>
    <t>Shardul Thakur</t>
  </si>
  <si>
    <t>10.75 Crore</t>
  </si>
  <si>
    <t>Marco Jansen</t>
  </si>
  <si>
    <t>4.2 Crore</t>
  </si>
  <si>
    <t>Sandeep Sharma</t>
  </si>
  <si>
    <t>Khaleel Ahmed</t>
  </si>
  <si>
    <t>5.25 Crore</t>
  </si>
  <si>
    <t>Tushar Deshpande</t>
  </si>
  <si>
    <t>CSK</t>
  </si>
  <si>
    <t>Anrich Nortje</t>
  </si>
  <si>
    <t>6.5 Crore</t>
  </si>
  <si>
    <t>Jason Behrendorff</t>
  </si>
  <si>
    <t>Chris Woakes</t>
  </si>
  <si>
    <t>Umran Malik</t>
  </si>
  <si>
    <t>Mohammed Arshad Khan</t>
  </si>
  <si>
    <t>Shivam Dube</t>
  </si>
  <si>
    <t>Nathan Ellis</t>
  </si>
  <si>
    <t>Reece Topley</t>
  </si>
  <si>
    <t>1.5 Crore</t>
  </si>
  <si>
    <t>Jaydev Unadkat</t>
  </si>
  <si>
    <t>Josh Hazlewood</t>
  </si>
  <si>
    <t>Adam Zampa</t>
  </si>
  <si>
    <t>2.5 Crore</t>
  </si>
  <si>
    <t>Mukesh Choudhary</t>
  </si>
  <si>
    <t>Kuldeep Sen</t>
  </si>
  <si>
    <t>Mitchell Santner</t>
  </si>
  <si>
    <t>2.2 Crore</t>
  </si>
  <si>
    <t>Lungi Ngidi</t>
  </si>
  <si>
    <t>M Ashwin</t>
  </si>
  <si>
    <t>Fazalhaq Farooqi</t>
  </si>
  <si>
    <t>Shreyas Gopal</t>
  </si>
  <si>
    <t>Kartik Tyagi</t>
  </si>
  <si>
    <t>Prasidh Krishna</t>
  </si>
  <si>
    <t>Glenn Maxwell</t>
  </si>
  <si>
    <t>12.25 Crore</t>
  </si>
  <si>
    <t>Marcus Stoinis</t>
  </si>
  <si>
    <t>11 Crore</t>
  </si>
  <si>
    <t>Liam Livingstone</t>
  </si>
  <si>
    <t>11.5 Crore</t>
  </si>
  <si>
    <t>Mitchell Marsh</t>
  </si>
  <si>
    <t>Washington Sundar</t>
  </si>
  <si>
    <t>8.75 Crore</t>
  </si>
  <si>
    <t>Rovman Powell</t>
  </si>
  <si>
    <t>7.4 Crore</t>
  </si>
  <si>
    <t>Shah Rukh Khan</t>
  </si>
  <si>
    <t>Jason Holder</t>
  </si>
  <si>
    <t>Wanindu Hasaranga</t>
  </si>
  <si>
    <t>Michael Bracewell</t>
  </si>
  <si>
    <t>Fabian Allen</t>
  </si>
  <si>
    <t>Azmatullah Omarzai</t>
  </si>
  <si>
    <t>Keemo Paul</t>
  </si>
  <si>
    <t>Mohd. Arshad Khan</t>
  </si>
  <si>
    <t>Raj Angad Bawa</t>
  </si>
  <si>
    <t>Vivrant Sharma</t>
  </si>
  <si>
    <t>Ashton Agar</t>
  </si>
  <si>
    <t>Arshin Kulkarni</t>
  </si>
  <si>
    <t>Hrithik Shokeen</t>
  </si>
  <si>
    <t>Atit Sheth</t>
  </si>
  <si>
    <t>Jamie Overton</t>
  </si>
  <si>
    <t>George Linde</t>
  </si>
  <si>
    <t>Wiaan Mulder</t>
  </si>
  <si>
    <t>Matthew Forde</t>
  </si>
  <si>
    <t>James Neesham</t>
  </si>
  <si>
    <t>Brydon Carse</t>
  </si>
  <si>
    <t>Ben Cutting</t>
  </si>
  <si>
    <t>Sarfaraz Khan</t>
  </si>
  <si>
    <t>Wesley Agar</t>
  </si>
  <si>
    <t>Ashton Turner</t>
  </si>
  <si>
    <t>Rishi Dhawan</t>
  </si>
  <si>
    <t>55 Lakhs</t>
  </si>
  <si>
    <t>Selected?</t>
  </si>
  <si>
    <t>Batting Strike rate</t>
  </si>
  <si>
    <t>Cost (2024) (Cr)</t>
  </si>
  <si>
    <t>Total Number</t>
  </si>
  <si>
    <t>Min. Number of Batters</t>
  </si>
  <si>
    <t>Max. Number of Batters</t>
  </si>
  <si>
    <t>Nationality</t>
  </si>
  <si>
    <t>International</t>
  </si>
  <si>
    <t>National</t>
  </si>
  <si>
    <t>International Players</t>
  </si>
  <si>
    <t>Efficiency</t>
  </si>
  <si>
    <t>Total Cost incurred</t>
  </si>
  <si>
    <t>Money Allocated</t>
  </si>
  <si>
    <t>Cr</t>
  </si>
  <si>
    <t>Sl. No.</t>
  </si>
  <si>
    <t>Players Selected</t>
  </si>
  <si>
    <t>Bowling Strike rate</t>
  </si>
  <si>
    <t>Number of Foreign players Selected</t>
  </si>
  <si>
    <t>Number of Foreign players selected</t>
  </si>
  <si>
    <t>cr</t>
  </si>
  <si>
    <t>Min. Number of Bowlers</t>
  </si>
  <si>
    <t>Max. Number of Bowlers</t>
  </si>
  <si>
    <t>Min. Number of All rounders</t>
  </si>
  <si>
    <t>Max. Number of All Rounders</t>
  </si>
  <si>
    <t>Max. number of Foreign players allowed</t>
  </si>
  <si>
    <t>Number of Foreign Players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</si>
</sst>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9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751D-6920-CA4F-828D-DE48FFFBD0EB}">
  <dimension ref="A1:K46"/>
  <sheetViews>
    <sheetView topLeftCell="B1" workbookViewId="0">
      <selection activeCell="H24" sqref="H24"/>
    </sheetView>
  </sheetViews>
  <sheetFormatPr baseColWidth="10" defaultRowHeight="16" x14ac:dyDescent="0.2"/>
  <cols>
    <col min="2" max="2" width="18.5" bestFit="1" customWidth="1"/>
    <col min="4" max="4" width="14.5" bestFit="1" customWidth="1"/>
    <col min="5" max="5" width="13" bestFit="1" customWidth="1"/>
    <col min="6" max="6" width="12.1640625" bestFit="1" customWidth="1"/>
    <col min="7" max="7" width="12.6640625" bestFit="1" customWidth="1"/>
  </cols>
  <sheetData>
    <row r="1" spans="1:11" x14ac:dyDescent="0.2">
      <c r="A1" s="1" t="s">
        <v>10</v>
      </c>
      <c r="B1" s="1" t="s">
        <v>0</v>
      </c>
      <c r="C1" s="1" t="s">
        <v>11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7</v>
      </c>
      <c r="K1" s="1" t="s">
        <v>71</v>
      </c>
    </row>
    <row r="2" spans="1:11" x14ac:dyDescent="0.2">
      <c r="A2">
        <v>1</v>
      </c>
      <c r="B2" t="s">
        <v>17</v>
      </c>
      <c r="C2" t="s">
        <v>18</v>
      </c>
      <c r="D2">
        <v>9</v>
      </c>
      <c r="E2">
        <v>330</v>
      </c>
      <c r="F2">
        <v>41.25</v>
      </c>
      <c r="G2">
        <v>234.04</v>
      </c>
      <c r="H2">
        <v>2</v>
      </c>
      <c r="I2">
        <v>0</v>
      </c>
      <c r="J2">
        <v>450</v>
      </c>
      <c r="K2" t="s">
        <v>72</v>
      </c>
    </row>
    <row r="3" spans="1:11" x14ac:dyDescent="0.2">
      <c r="A3">
        <v>2</v>
      </c>
      <c r="B3" t="s">
        <v>19</v>
      </c>
      <c r="C3" t="s">
        <v>18</v>
      </c>
      <c r="D3">
        <v>14</v>
      </c>
      <c r="E3">
        <v>327</v>
      </c>
      <c r="F3">
        <v>32.700000000000003</v>
      </c>
      <c r="G3">
        <v>159.51</v>
      </c>
      <c r="H3">
        <v>2</v>
      </c>
      <c r="I3">
        <v>0</v>
      </c>
      <c r="J3">
        <v>420</v>
      </c>
      <c r="K3" t="s">
        <v>73</v>
      </c>
    </row>
    <row r="4" spans="1:11" x14ac:dyDescent="0.2">
      <c r="A4">
        <v>4</v>
      </c>
      <c r="B4" t="s">
        <v>21</v>
      </c>
      <c r="C4" t="s">
        <v>22</v>
      </c>
      <c r="D4">
        <v>14</v>
      </c>
      <c r="E4">
        <v>320</v>
      </c>
      <c r="F4">
        <v>32</v>
      </c>
      <c r="G4">
        <v>148.84</v>
      </c>
      <c r="H4">
        <v>3</v>
      </c>
      <c r="I4">
        <v>0</v>
      </c>
      <c r="J4">
        <v>410</v>
      </c>
      <c r="K4" t="s">
        <v>74</v>
      </c>
    </row>
    <row r="5" spans="1:11" x14ac:dyDescent="0.2">
      <c r="A5">
        <v>5</v>
      </c>
      <c r="B5" t="s">
        <v>23</v>
      </c>
      <c r="C5" t="s">
        <v>24</v>
      </c>
      <c r="D5">
        <v>13</v>
      </c>
      <c r="E5">
        <v>318</v>
      </c>
      <c r="F5">
        <v>29.82</v>
      </c>
      <c r="G5">
        <v>142.6</v>
      </c>
      <c r="H5">
        <v>2</v>
      </c>
      <c r="I5">
        <v>0</v>
      </c>
      <c r="J5">
        <v>405</v>
      </c>
      <c r="K5" t="s">
        <v>75</v>
      </c>
    </row>
    <row r="6" spans="1:11" x14ac:dyDescent="0.2">
      <c r="A6">
        <v>6</v>
      </c>
      <c r="B6" t="s">
        <v>25</v>
      </c>
      <c r="C6" t="s">
        <v>26</v>
      </c>
      <c r="D6">
        <v>13</v>
      </c>
      <c r="E6">
        <v>303</v>
      </c>
      <c r="F6">
        <v>27.55</v>
      </c>
      <c r="G6">
        <v>142.91999999999999</v>
      </c>
      <c r="H6">
        <v>1</v>
      </c>
      <c r="I6">
        <v>0</v>
      </c>
      <c r="J6">
        <v>395</v>
      </c>
      <c r="K6" t="s">
        <v>76</v>
      </c>
    </row>
    <row r="7" spans="1:11" x14ac:dyDescent="0.2">
      <c r="A7">
        <v>7</v>
      </c>
      <c r="B7" t="s">
        <v>27</v>
      </c>
      <c r="C7" t="s">
        <v>28</v>
      </c>
      <c r="D7">
        <v>11</v>
      </c>
      <c r="E7">
        <v>298</v>
      </c>
      <c r="F7">
        <v>33.11</v>
      </c>
      <c r="G7">
        <v>152.82</v>
      </c>
      <c r="H7">
        <v>2</v>
      </c>
      <c r="I7">
        <v>0</v>
      </c>
      <c r="J7">
        <v>390</v>
      </c>
      <c r="K7" t="s">
        <v>77</v>
      </c>
    </row>
    <row r="8" spans="1:11" x14ac:dyDescent="0.2">
      <c r="A8">
        <v>8</v>
      </c>
      <c r="B8" t="s">
        <v>29</v>
      </c>
      <c r="C8" t="s">
        <v>28</v>
      </c>
      <c r="D8">
        <v>13</v>
      </c>
      <c r="E8">
        <v>270</v>
      </c>
      <c r="F8">
        <v>24.55</v>
      </c>
      <c r="G8">
        <v>123.29</v>
      </c>
      <c r="H8">
        <v>2</v>
      </c>
      <c r="I8">
        <v>0</v>
      </c>
      <c r="J8">
        <v>385</v>
      </c>
      <c r="K8" t="s">
        <v>78</v>
      </c>
    </row>
    <row r="9" spans="1:11" x14ac:dyDescent="0.2">
      <c r="A9">
        <v>9</v>
      </c>
      <c r="B9" t="s">
        <v>30</v>
      </c>
      <c r="C9" t="s">
        <v>24</v>
      </c>
      <c r="D9">
        <v>14</v>
      </c>
      <c r="E9">
        <v>267</v>
      </c>
      <c r="F9">
        <v>26.7</v>
      </c>
      <c r="G9">
        <v>142.78</v>
      </c>
      <c r="H9">
        <v>1</v>
      </c>
      <c r="I9">
        <v>0</v>
      </c>
      <c r="J9">
        <v>380</v>
      </c>
      <c r="K9" t="s">
        <v>79</v>
      </c>
    </row>
    <row r="10" spans="1:11" x14ac:dyDescent="0.2">
      <c r="A10">
        <v>10</v>
      </c>
      <c r="B10" t="s">
        <v>31</v>
      </c>
      <c r="C10" t="s">
        <v>20</v>
      </c>
      <c r="D10">
        <v>13</v>
      </c>
      <c r="E10">
        <v>255</v>
      </c>
      <c r="F10">
        <v>23.18</v>
      </c>
      <c r="G10">
        <v>143.26</v>
      </c>
      <c r="H10">
        <v>1</v>
      </c>
      <c r="I10">
        <v>0</v>
      </c>
      <c r="J10">
        <v>375</v>
      </c>
      <c r="K10" t="s">
        <v>80</v>
      </c>
    </row>
    <row r="11" spans="1:11" x14ac:dyDescent="0.2">
      <c r="A11">
        <v>11</v>
      </c>
      <c r="B11" t="s">
        <v>32</v>
      </c>
      <c r="C11" t="s">
        <v>33</v>
      </c>
      <c r="D11">
        <v>11</v>
      </c>
      <c r="E11">
        <v>250</v>
      </c>
      <c r="F11">
        <v>25</v>
      </c>
      <c r="G11">
        <v>134.41</v>
      </c>
      <c r="H11">
        <v>2</v>
      </c>
      <c r="I11">
        <v>0</v>
      </c>
      <c r="J11">
        <v>370</v>
      </c>
      <c r="K11" t="s">
        <v>81</v>
      </c>
    </row>
    <row r="12" spans="1:11" x14ac:dyDescent="0.2">
      <c r="A12">
        <v>12</v>
      </c>
      <c r="B12" t="s">
        <v>34</v>
      </c>
      <c r="C12" t="s">
        <v>24</v>
      </c>
      <c r="D12">
        <v>13</v>
      </c>
      <c r="E12">
        <v>242</v>
      </c>
      <c r="F12">
        <v>24.2</v>
      </c>
      <c r="G12">
        <v>123.47</v>
      </c>
      <c r="H12">
        <v>2</v>
      </c>
      <c r="I12">
        <v>0</v>
      </c>
      <c r="J12">
        <v>365</v>
      </c>
      <c r="K12" t="s">
        <v>76</v>
      </c>
    </row>
    <row r="13" spans="1:11" x14ac:dyDescent="0.2">
      <c r="A13">
        <v>13</v>
      </c>
      <c r="B13" t="s">
        <v>35</v>
      </c>
      <c r="C13" t="s">
        <v>22</v>
      </c>
      <c r="D13">
        <v>13</v>
      </c>
      <c r="E13">
        <v>241</v>
      </c>
      <c r="F13">
        <v>21.91</v>
      </c>
      <c r="G13">
        <v>158.55000000000001</v>
      </c>
      <c r="H13">
        <v>1</v>
      </c>
      <c r="I13">
        <v>0</v>
      </c>
      <c r="J13">
        <v>360</v>
      </c>
      <c r="K13" t="s">
        <v>82</v>
      </c>
    </row>
    <row r="14" spans="1:11" x14ac:dyDescent="0.2">
      <c r="A14">
        <v>14</v>
      </c>
      <c r="B14" t="s">
        <v>36</v>
      </c>
      <c r="C14" t="s">
        <v>18</v>
      </c>
      <c r="D14">
        <v>14</v>
      </c>
      <c r="E14">
        <v>235</v>
      </c>
      <c r="F14">
        <v>23.5</v>
      </c>
      <c r="G14">
        <v>131.28</v>
      </c>
      <c r="H14">
        <v>1</v>
      </c>
      <c r="I14">
        <v>0</v>
      </c>
      <c r="J14">
        <v>355</v>
      </c>
      <c r="K14" t="s">
        <v>83</v>
      </c>
    </row>
    <row r="15" spans="1:11" x14ac:dyDescent="0.2">
      <c r="A15">
        <v>15</v>
      </c>
      <c r="B15" t="s">
        <v>37</v>
      </c>
      <c r="C15" t="s">
        <v>33</v>
      </c>
      <c r="D15">
        <v>14</v>
      </c>
      <c r="E15">
        <v>235</v>
      </c>
      <c r="F15">
        <v>21.36</v>
      </c>
      <c r="G15">
        <v>137.43</v>
      </c>
      <c r="H15">
        <v>1</v>
      </c>
      <c r="I15">
        <v>0</v>
      </c>
      <c r="J15">
        <v>350</v>
      </c>
      <c r="K15" t="s">
        <v>84</v>
      </c>
    </row>
    <row r="16" spans="1:11" x14ac:dyDescent="0.2">
      <c r="A16">
        <v>16</v>
      </c>
      <c r="B16" t="s">
        <v>38</v>
      </c>
      <c r="C16" t="s">
        <v>20</v>
      </c>
      <c r="D16">
        <v>8</v>
      </c>
      <c r="E16">
        <v>230</v>
      </c>
      <c r="F16">
        <v>28.75</v>
      </c>
      <c r="G16">
        <v>175.57</v>
      </c>
      <c r="H16">
        <v>2</v>
      </c>
      <c r="I16">
        <v>0</v>
      </c>
      <c r="J16">
        <v>345</v>
      </c>
      <c r="K16" t="s">
        <v>85</v>
      </c>
    </row>
    <row r="17" spans="1:11" x14ac:dyDescent="0.2">
      <c r="A17">
        <v>17</v>
      </c>
      <c r="B17" t="s">
        <v>39</v>
      </c>
      <c r="C17" t="s">
        <v>24</v>
      </c>
      <c r="D17">
        <v>10</v>
      </c>
      <c r="E17">
        <v>222</v>
      </c>
      <c r="F17">
        <v>22.2</v>
      </c>
      <c r="G17">
        <v>160.87</v>
      </c>
      <c r="H17">
        <v>1</v>
      </c>
      <c r="I17">
        <v>0</v>
      </c>
      <c r="J17">
        <v>335</v>
      </c>
      <c r="K17" t="s">
        <v>72</v>
      </c>
    </row>
    <row r="18" spans="1:11" x14ac:dyDescent="0.2">
      <c r="A18">
        <v>18</v>
      </c>
      <c r="B18" t="s">
        <v>40</v>
      </c>
      <c r="C18" t="s">
        <v>26</v>
      </c>
      <c r="D18">
        <v>11</v>
      </c>
      <c r="E18">
        <v>220</v>
      </c>
      <c r="F18">
        <v>20</v>
      </c>
      <c r="G18">
        <v>124.29</v>
      </c>
      <c r="H18">
        <v>1</v>
      </c>
      <c r="I18">
        <v>0</v>
      </c>
      <c r="J18">
        <v>330</v>
      </c>
      <c r="K18" t="s">
        <v>86</v>
      </c>
    </row>
    <row r="19" spans="1:11" x14ac:dyDescent="0.2">
      <c r="A19">
        <v>19</v>
      </c>
      <c r="B19" t="s">
        <v>41</v>
      </c>
      <c r="C19" t="s">
        <v>22</v>
      </c>
      <c r="D19">
        <v>14</v>
      </c>
      <c r="E19">
        <v>216</v>
      </c>
      <c r="F19">
        <v>21.6</v>
      </c>
      <c r="G19">
        <v>143.05000000000001</v>
      </c>
      <c r="H19">
        <v>1</v>
      </c>
      <c r="I19">
        <v>0</v>
      </c>
      <c r="J19">
        <v>325</v>
      </c>
      <c r="K19" t="s">
        <v>87</v>
      </c>
    </row>
    <row r="20" spans="1:11" x14ac:dyDescent="0.2">
      <c r="A20">
        <v>20</v>
      </c>
      <c r="B20" t="s">
        <v>42</v>
      </c>
      <c r="C20" t="s">
        <v>26</v>
      </c>
      <c r="D20">
        <v>16</v>
      </c>
      <c r="E20">
        <v>215</v>
      </c>
      <c r="F20">
        <v>17.920000000000002</v>
      </c>
      <c r="G20">
        <v>129.52000000000001</v>
      </c>
      <c r="H20">
        <v>0</v>
      </c>
      <c r="I20">
        <v>0</v>
      </c>
      <c r="J20">
        <v>320</v>
      </c>
      <c r="K20" t="s">
        <v>88</v>
      </c>
    </row>
    <row r="21" spans="1:11" x14ac:dyDescent="0.2">
      <c r="A21">
        <v>21</v>
      </c>
      <c r="B21" t="s">
        <v>43</v>
      </c>
      <c r="C21" t="s">
        <v>28</v>
      </c>
      <c r="D21">
        <v>8</v>
      </c>
      <c r="E21">
        <v>211</v>
      </c>
      <c r="F21">
        <v>26.38</v>
      </c>
      <c r="G21">
        <v>181.9</v>
      </c>
      <c r="H21">
        <v>1</v>
      </c>
      <c r="I21">
        <v>0</v>
      </c>
      <c r="J21">
        <v>315</v>
      </c>
      <c r="K21" t="s">
        <v>89</v>
      </c>
    </row>
    <row r="22" spans="1:11" x14ac:dyDescent="0.2">
      <c r="A22">
        <v>22</v>
      </c>
      <c r="B22" t="s">
        <v>44</v>
      </c>
      <c r="C22" t="s">
        <v>45</v>
      </c>
      <c r="D22">
        <v>9</v>
      </c>
      <c r="E22">
        <v>210</v>
      </c>
      <c r="F22">
        <v>23.33</v>
      </c>
      <c r="G22">
        <v>151.08000000000001</v>
      </c>
      <c r="H22">
        <v>1</v>
      </c>
      <c r="I22">
        <v>0</v>
      </c>
      <c r="J22">
        <v>310</v>
      </c>
      <c r="K22" t="s">
        <v>88</v>
      </c>
    </row>
    <row r="23" spans="1:11" x14ac:dyDescent="0.2">
      <c r="A23">
        <v>23</v>
      </c>
      <c r="B23" t="s">
        <v>46</v>
      </c>
      <c r="C23" t="s">
        <v>18</v>
      </c>
      <c r="D23">
        <v>8</v>
      </c>
      <c r="E23">
        <v>198</v>
      </c>
      <c r="F23">
        <v>24.75</v>
      </c>
      <c r="G23">
        <v>163.63999999999999</v>
      </c>
      <c r="H23">
        <v>1</v>
      </c>
      <c r="I23">
        <v>0</v>
      </c>
      <c r="J23">
        <v>305</v>
      </c>
      <c r="K23" t="s">
        <v>90</v>
      </c>
    </row>
    <row r="24" spans="1:11" x14ac:dyDescent="0.2">
      <c r="A24">
        <v>24</v>
      </c>
      <c r="B24" t="s">
        <v>47</v>
      </c>
      <c r="C24" t="s">
        <v>48</v>
      </c>
      <c r="D24">
        <v>15</v>
      </c>
      <c r="E24">
        <v>195</v>
      </c>
      <c r="F24">
        <v>19.5</v>
      </c>
      <c r="G24">
        <v>138.30000000000001</v>
      </c>
      <c r="H24">
        <v>1</v>
      </c>
      <c r="I24">
        <v>0</v>
      </c>
      <c r="J24">
        <v>300</v>
      </c>
      <c r="K24" t="s">
        <v>76</v>
      </c>
    </row>
    <row r="25" spans="1:11" x14ac:dyDescent="0.2">
      <c r="A25">
        <v>25</v>
      </c>
      <c r="B25" t="s">
        <v>49</v>
      </c>
      <c r="C25" t="s">
        <v>28</v>
      </c>
      <c r="D25">
        <v>11</v>
      </c>
      <c r="E25">
        <v>189</v>
      </c>
      <c r="F25">
        <v>18.899999999999999</v>
      </c>
      <c r="G25">
        <v>167.26</v>
      </c>
      <c r="H25">
        <v>1</v>
      </c>
      <c r="I25">
        <v>0</v>
      </c>
      <c r="J25">
        <v>295</v>
      </c>
      <c r="K25" t="s">
        <v>84</v>
      </c>
    </row>
    <row r="26" spans="1:11" x14ac:dyDescent="0.2">
      <c r="A26">
        <v>26</v>
      </c>
      <c r="B26" t="s">
        <v>50</v>
      </c>
      <c r="C26" t="s">
        <v>45</v>
      </c>
      <c r="D26">
        <v>12</v>
      </c>
      <c r="E26">
        <v>188</v>
      </c>
      <c r="F26">
        <v>18.8</v>
      </c>
      <c r="G26">
        <v>145.74</v>
      </c>
      <c r="H26">
        <v>1</v>
      </c>
      <c r="I26">
        <v>0</v>
      </c>
      <c r="J26">
        <v>290</v>
      </c>
      <c r="K26" t="s">
        <v>83</v>
      </c>
    </row>
    <row r="27" spans="1:11" x14ac:dyDescent="0.2">
      <c r="A27">
        <v>27</v>
      </c>
      <c r="B27" t="s">
        <v>51</v>
      </c>
      <c r="C27" t="s">
        <v>28</v>
      </c>
      <c r="D27">
        <v>14</v>
      </c>
      <c r="E27">
        <v>187</v>
      </c>
      <c r="F27">
        <v>18.7</v>
      </c>
      <c r="G27">
        <v>131.69</v>
      </c>
      <c r="H27">
        <v>0</v>
      </c>
      <c r="I27">
        <v>0</v>
      </c>
      <c r="J27">
        <v>285</v>
      </c>
      <c r="K27" t="s">
        <v>84</v>
      </c>
    </row>
    <row r="28" spans="1:11" x14ac:dyDescent="0.2">
      <c r="A28">
        <v>28</v>
      </c>
      <c r="B28" t="s">
        <v>52</v>
      </c>
      <c r="C28" t="s">
        <v>18</v>
      </c>
      <c r="D28">
        <v>9</v>
      </c>
      <c r="E28">
        <v>183</v>
      </c>
      <c r="F28">
        <v>20.329999999999998</v>
      </c>
      <c r="G28">
        <v>150</v>
      </c>
      <c r="H28">
        <v>1</v>
      </c>
      <c r="I28">
        <v>0</v>
      </c>
      <c r="J28">
        <v>280</v>
      </c>
      <c r="K28" t="s">
        <v>91</v>
      </c>
    </row>
    <row r="29" spans="1:11" x14ac:dyDescent="0.2">
      <c r="A29">
        <v>29</v>
      </c>
      <c r="B29" t="s">
        <v>53</v>
      </c>
      <c r="C29" t="s">
        <v>26</v>
      </c>
      <c r="D29">
        <v>16</v>
      </c>
      <c r="E29">
        <v>182</v>
      </c>
      <c r="F29">
        <v>16.54</v>
      </c>
      <c r="G29">
        <v>168.52</v>
      </c>
      <c r="H29">
        <v>0</v>
      </c>
      <c r="I29">
        <v>0</v>
      </c>
      <c r="J29">
        <v>275</v>
      </c>
      <c r="K29" t="s">
        <v>89</v>
      </c>
    </row>
    <row r="30" spans="1:11" x14ac:dyDescent="0.2">
      <c r="A30">
        <v>30</v>
      </c>
      <c r="B30" t="s">
        <v>54</v>
      </c>
      <c r="C30" t="s">
        <v>18</v>
      </c>
      <c r="D30">
        <v>8</v>
      </c>
      <c r="E30">
        <v>168</v>
      </c>
      <c r="F30">
        <v>21</v>
      </c>
      <c r="G30">
        <v>134.4</v>
      </c>
      <c r="H30">
        <v>1</v>
      </c>
      <c r="I30">
        <v>0</v>
      </c>
      <c r="J30">
        <v>270</v>
      </c>
      <c r="K30" t="s">
        <v>92</v>
      </c>
    </row>
    <row r="31" spans="1:11" x14ac:dyDescent="0.2">
      <c r="A31">
        <v>31</v>
      </c>
      <c r="B31" t="s">
        <v>55</v>
      </c>
      <c r="C31" t="s">
        <v>26</v>
      </c>
      <c r="D31">
        <v>6</v>
      </c>
      <c r="E31">
        <v>165</v>
      </c>
      <c r="F31">
        <v>27.5</v>
      </c>
      <c r="G31">
        <v>143.47999999999999</v>
      </c>
      <c r="H31">
        <v>1</v>
      </c>
      <c r="I31">
        <v>0</v>
      </c>
      <c r="J31">
        <v>260</v>
      </c>
      <c r="K31" t="s">
        <v>93</v>
      </c>
    </row>
    <row r="32" spans="1:11" x14ac:dyDescent="0.2">
      <c r="A32">
        <v>32</v>
      </c>
      <c r="B32" t="s">
        <v>56</v>
      </c>
      <c r="C32" t="s">
        <v>24</v>
      </c>
      <c r="D32">
        <v>14</v>
      </c>
      <c r="E32">
        <v>161</v>
      </c>
      <c r="F32">
        <v>40.25</v>
      </c>
      <c r="G32">
        <v>220.55</v>
      </c>
      <c r="H32">
        <v>0</v>
      </c>
      <c r="I32">
        <v>0</v>
      </c>
      <c r="J32">
        <v>250</v>
      </c>
      <c r="K32" t="s">
        <v>94</v>
      </c>
    </row>
    <row r="33" spans="1:11" x14ac:dyDescent="0.2">
      <c r="A33">
        <v>33</v>
      </c>
      <c r="B33" t="s">
        <v>57</v>
      </c>
      <c r="C33" t="s">
        <v>28</v>
      </c>
      <c r="D33">
        <v>5</v>
      </c>
      <c r="E33">
        <v>152</v>
      </c>
      <c r="F33">
        <v>30.4</v>
      </c>
      <c r="G33">
        <v>125.62</v>
      </c>
      <c r="H33">
        <v>1</v>
      </c>
      <c r="I33">
        <v>0</v>
      </c>
      <c r="J33">
        <v>245</v>
      </c>
      <c r="K33" t="s">
        <v>82</v>
      </c>
    </row>
    <row r="34" spans="1:11" x14ac:dyDescent="0.2">
      <c r="A34">
        <v>34</v>
      </c>
      <c r="B34" t="s">
        <v>58</v>
      </c>
      <c r="C34" t="s">
        <v>33</v>
      </c>
      <c r="D34">
        <v>11</v>
      </c>
      <c r="E34">
        <v>145</v>
      </c>
      <c r="F34">
        <v>18.13</v>
      </c>
      <c r="G34">
        <v>138.1</v>
      </c>
      <c r="H34">
        <v>0</v>
      </c>
      <c r="I34">
        <v>0</v>
      </c>
      <c r="J34">
        <v>240</v>
      </c>
      <c r="K34" t="s">
        <v>95</v>
      </c>
    </row>
    <row r="35" spans="1:11" x14ac:dyDescent="0.2">
      <c r="A35">
        <v>35</v>
      </c>
      <c r="B35" t="s">
        <v>59</v>
      </c>
      <c r="C35" t="s">
        <v>22</v>
      </c>
      <c r="D35">
        <v>7</v>
      </c>
      <c r="E35">
        <v>140</v>
      </c>
      <c r="F35">
        <v>20</v>
      </c>
      <c r="G35">
        <v>177.22</v>
      </c>
      <c r="H35">
        <v>1</v>
      </c>
      <c r="I35">
        <v>0</v>
      </c>
      <c r="J35">
        <v>235</v>
      </c>
      <c r="K35" t="s">
        <v>84</v>
      </c>
    </row>
    <row r="36" spans="1:11" x14ac:dyDescent="0.2">
      <c r="A36">
        <v>36</v>
      </c>
      <c r="B36" t="s">
        <v>60</v>
      </c>
      <c r="C36" t="s">
        <v>26</v>
      </c>
      <c r="D36">
        <v>16</v>
      </c>
      <c r="E36">
        <v>136</v>
      </c>
      <c r="F36">
        <v>13.6</v>
      </c>
      <c r="G36">
        <v>143.16</v>
      </c>
      <c r="H36">
        <v>0</v>
      </c>
      <c r="I36">
        <v>0</v>
      </c>
      <c r="J36">
        <v>230</v>
      </c>
      <c r="K36" t="s">
        <v>96</v>
      </c>
    </row>
    <row r="37" spans="1:11" x14ac:dyDescent="0.2">
      <c r="A37">
        <v>37</v>
      </c>
      <c r="B37" t="s">
        <v>61</v>
      </c>
      <c r="C37" t="s">
        <v>45</v>
      </c>
      <c r="D37">
        <v>9</v>
      </c>
      <c r="E37">
        <v>136</v>
      </c>
      <c r="F37">
        <v>15.11</v>
      </c>
      <c r="G37">
        <v>118.26</v>
      </c>
      <c r="H37">
        <v>0</v>
      </c>
      <c r="I37">
        <v>0</v>
      </c>
      <c r="J37">
        <v>225</v>
      </c>
      <c r="K37" t="s">
        <v>97</v>
      </c>
    </row>
    <row r="38" spans="1:11" x14ac:dyDescent="0.2">
      <c r="A38">
        <v>38</v>
      </c>
      <c r="B38" t="s">
        <v>62</v>
      </c>
      <c r="C38" t="s">
        <v>33</v>
      </c>
      <c r="D38">
        <v>14</v>
      </c>
      <c r="E38">
        <v>133</v>
      </c>
      <c r="F38">
        <v>19</v>
      </c>
      <c r="G38">
        <v>126.67</v>
      </c>
      <c r="H38">
        <v>0</v>
      </c>
      <c r="I38">
        <v>0</v>
      </c>
      <c r="J38">
        <v>220</v>
      </c>
      <c r="K38" t="s">
        <v>82</v>
      </c>
    </row>
    <row r="39" spans="1:11" x14ac:dyDescent="0.2">
      <c r="A39">
        <v>39</v>
      </c>
      <c r="B39" t="s">
        <v>63</v>
      </c>
      <c r="C39" t="s">
        <v>24</v>
      </c>
      <c r="D39">
        <v>8</v>
      </c>
      <c r="E39">
        <v>128</v>
      </c>
      <c r="F39">
        <v>16</v>
      </c>
      <c r="G39">
        <v>130.61000000000001</v>
      </c>
      <c r="H39">
        <v>0</v>
      </c>
      <c r="I39">
        <v>0</v>
      </c>
      <c r="J39">
        <v>215</v>
      </c>
      <c r="K39" t="s">
        <v>98</v>
      </c>
    </row>
    <row r="40" spans="1:11" x14ac:dyDescent="0.2">
      <c r="A40">
        <v>40</v>
      </c>
      <c r="B40" t="s">
        <v>64</v>
      </c>
      <c r="C40" t="s">
        <v>45</v>
      </c>
      <c r="D40">
        <v>7</v>
      </c>
      <c r="E40">
        <v>127</v>
      </c>
      <c r="F40">
        <v>18.14</v>
      </c>
      <c r="G40">
        <v>169.33</v>
      </c>
      <c r="H40">
        <v>0</v>
      </c>
      <c r="I40">
        <v>0</v>
      </c>
      <c r="J40">
        <v>210</v>
      </c>
      <c r="K40" t="s">
        <v>89</v>
      </c>
    </row>
    <row r="41" spans="1:11" x14ac:dyDescent="0.2">
      <c r="A41">
        <v>41</v>
      </c>
      <c r="B41" t="s">
        <v>65</v>
      </c>
      <c r="C41" t="s">
        <v>20</v>
      </c>
      <c r="D41">
        <v>10</v>
      </c>
      <c r="E41">
        <v>125</v>
      </c>
      <c r="F41">
        <v>15.63</v>
      </c>
      <c r="G41">
        <v>183.82</v>
      </c>
      <c r="H41">
        <v>0</v>
      </c>
      <c r="I41">
        <v>0</v>
      </c>
      <c r="J41">
        <v>210</v>
      </c>
      <c r="K41" t="s">
        <v>84</v>
      </c>
    </row>
    <row r="42" spans="1:11" x14ac:dyDescent="0.2">
      <c r="A42">
        <v>42</v>
      </c>
      <c r="B42" t="s">
        <v>66</v>
      </c>
      <c r="C42" t="s">
        <v>48</v>
      </c>
      <c r="D42">
        <v>7</v>
      </c>
      <c r="E42">
        <v>124</v>
      </c>
      <c r="F42">
        <v>20.67</v>
      </c>
      <c r="G42">
        <v>178.26</v>
      </c>
      <c r="H42">
        <v>0</v>
      </c>
      <c r="I42">
        <v>0</v>
      </c>
      <c r="J42">
        <v>200</v>
      </c>
      <c r="K42" t="s">
        <v>99</v>
      </c>
    </row>
    <row r="43" spans="1:11" x14ac:dyDescent="0.2">
      <c r="A43">
        <v>43</v>
      </c>
      <c r="B43" t="s">
        <v>67</v>
      </c>
      <c r="C43" t="s">
        <v>48</v>
      </c>
      <c r="D43">
        <v>7</v>
      </c>
      <c r="E43">
        <v>120</v>
      </c>
      <c r="F43">
        <v>20</v>
      </c>
      <c r="G43">
        <v>142.86000000000001</v>
      </c>
      <c r="H43">
        <v>0</v>
      </c>
      <c r="I43">
        <v>0</v>
      </c>
      <c r="J43">
        <v>195</v>
      </c>
      <c r="K43" t="s">
        <v>88</v>
      </c>
    </row>
    <row r="44" spans="1:11" x14ac:dyDescent="0.2">
      <c r="A44">
        <v>44</v>
      </c>
      <c r="B44" t="s">
        <v>68</v>
      </c>
      <c r="C44" t="s">
        <v>28</v>
      </c>
      <c r="D44">
        <v>6</v>
      </c>
      <c r="E44">
        <v>118</v>
      </c>
      <c r="F44">
        <v>23.6</v>
      </c>
      <c r="G44">
        <v>137.65</v>
      </c>
      <c r="H44">
        <v>0</v>
      </c>
      <c r="I44">
        <v>0</v>
      </c>
      <c r="J44">
        <v>190</v>
      </c>
      <c r="K44" t="s">
        <v>100</v>
      </c>
    </row>
    <row r="45" spans="1:11" x14ac:dyDescent="0.2">
      <c r="A45">
        <v>45</v>
      </c>
      <c r="B45" t="s">
        <v>69</v>
      </c>
      <c r="C45" t="s">
        <v>18</v>
      </c>
      <c r="D45">
        <v>10</v>
      </c>
      <c r="E45">
        <v>115</v>
      </c>
      <c r="F45">
        <v>16.43</v>
      </c>
      <c r="G45">
        <v>138.55000000000001</v>
      </c>
      <c r="H45">
        <v>0</v>
      </c>
      <c r="I45">
        <v>0</v>
      </c>
      <c r="J45">
        <v>185</v>
      </c>
      <c r="K45" t="s">
        <v>101</v>
      </c>
    </row>
    <row r="46" spans="1:11" x14ac:dyDescent="0.2">
      <c r="A46">
        <v>46</v>
      </c>
      <c r="B46" t="s">
        <v>70</v>
      </c>
      <c r="C46" t="s">
        <v>45</v>
      </c>
      <c r="D46">
        <v>12</v>
      </c>
      <c r="E46">
        <v>114</v>
      </c>
      <c r="F46">
        <v>14.25</v>
      </c>
      <c r="G46">
        <v>128.72999999999999</v>
      </c>
      <c r="H46">
        <v>0</v>
      </c>
      <c r="I46">
        <v>0</v>
      </c>
      <c r="J46">
        <v>180</v>
      </c>
      <c r="K46" t="s">
        <v>98</v>
      </c>
    </row>
  </sheetData>
  <autoFilter ref="A1:K46" xr:uid="{C7E0751D-6920-CA4F-828D-DE48FFFBD0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7F92-0869-C34F-BD61-C4BDE57259F7}">
  <dimension ref="A1:I45"/>
  <sheetViews>
    <sheetView workbookViewId="0">
      <selection activeCell="F2" sqref="F2:F45"/>
    </sheetView>
  </sheetViews>
  <sheetFormatPr baseColWidth="10" defaultRowHeight="16" x14ac:dyDescent="0.2"/>
  <cols>
    <col min="1" max="1" width="5.33203125" bestFit="1" customWidth="1"/>
    <col min="2" max="2" width="21" bestFit="1" customWidth="1"/>
    <col min="3" max="3" width="5.6640625" bestFit="1" customWidth="1"/>
    <col min="4" max="4" width="8.33203125" bestFit="1" customWidth="1"/>
    <col min="5" max="5" width="8" bestFit="1" customWidth="1"/>
    <col min="6" max="6" width="8.6640625" bestFit="1" customWidth="1"/>
    <col min="7" max="7" width="10.1640625" bestFit="1" customWidth="1"/>
    <col min="8" max="8" width="12.6640625" bestFit="1" customWidth="1"/>
    <col min="9" max="9" width="17" bestFit="1" customWidth="1"/>
  </cols>
  <sheetData>
    <row r="1" spans="1:9" x14ac:dyDescent="0.2">
      <c r="A1" s="1" t="s">
        <v>10</v>
      </c>
      <c r="B1" s="1" t="s">
        <v>0</v>
      </c>
      <c r="C1" s="1" t="s">
        <v>11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102</v>
      </c>
    </row>
    <row r="2" spans="1:9" x14ac:dyDescent="0.2">
      <c r="A2">
        <v>1</v>
      </c>
      <c r="B2" t="s">
        <v>60</v>
      </c>
      <c r="C2" t="s">
        <v>103</v>
      </c>
      <c r="D2">
        <v>16</v>
      </c>
      <c r="E2">
        <v>23</v>
      </c>
      <c r="F2">
        <v>7.8</v>
      </c>
      <c r="G2">
        <v>15.3</v>
      </c>
      <c r="H2">
        <v>500</v>
      </c>
      <c r="I2" t="s">
        <v>96</v>
      </c>
    </row>
    <row r="3" spans="1:9" x14ac:dyDescent="0.2">
      <c r="A3">
        <v>2</v>
      </c>
      <c r="B3" t="s">
        <v>104</v>
      </c>
      <c r="C3" t="s">
        <v>105</v>
      </c>
      <c r="D3">
        <v>15</v>
      </c>
      <c r="E3">
        <v>21</v>
      </c>
      <c r="F3">
        <v>6.8</v>
      </c>
      <c r="G3">
        <v>17.5</v>
      </c>
      <c r="H3">
        <v>470</v>
      </c>
      <c r="I3" t="s">
        <v>90</v>
      </c>
    </row>
    <row r="4" spans="1:9" x14ac:dyDescent="0.2">
      <c r="A4">
        <v>3</v>
      </c>
      <c r="B4" t="s">
        <v>106</v>
      </c>
      <c r="C4" t="s">
        <v>107</v>
      </c>
      <c r="D4">
        <v>12</v>
      </c>
      <c r="E4">
        <v>20</v>
      </c>
      <c r="F4">
        <v>7</v>
      </c>
      <c r="G4">
        <v>16.100000000000001</v>
      </c>
      <c r="H4">
        <v>450</v>
      </c>
      <c r="I4" t="s">
        <v>87</v>
      </c>
    </row>
    <row r="5" spans="1:9" x14ac:dyDescent="0.2">
      <c r="A5">
        <v>4</v>
      </c>
      <c r="B5" t="s">
        <v>108</v>
      </c>
      <c r="C5" t="s">
        <v>109</v>
      </c>
      <c r="D5">
        <v>14</v>
      </c>
      <c r="E5">
        <v>19</v>
      </c>
      <c r="F5">
        <v>7.3</v>
      </c>
      <c r="G5">
        <v>18</v>
      </c>
      <c r="H5">
        <v>430</v>
      </c>
      <c r="I5" t="s">
        <v>110</v>
      </c>
    </row>
    <row r="6" spans="1:9" x14ac:dyDescent="0.2">
      <c r="A6">
        <v>5</v>
      </c>
      <c r="B6" t="s">
        <v>111</v>
      </c>
      <c r="C6" t="s">
        <v>109</v>
      </c>
      <c r="D6">
        <v>14</v>
      </c>
      <c r="E6">
        <v>17</v>
      </c>
      <c r="F6">
        <v>8</v>
      </c>
      <c r="G6">
        <v>18.5</v>
      </c>
      <c r="H6">
        <v>395</v>
      </c>
      <c r="I6" t="s">
        <v>110</v>
      </c>
    </row>
    <row r="7" spans="1:9" x14ac:dyDescent="0.2">
      <c r="A7">
        <v>6</v>
      </c>
      <c r="B7" t="s">
        <v>112</v>
      </c>
      <c r="C7" t="s">
        <v>113</v>
      </c>
      <c r="D7">
        <v>14</v>
      </c>
      <c r="E7">
        <v>17</v>
      </c>
      <c r="F7">
        <v>7.6</v>
      </c>
      <c r="G7">
        <v>19</v>
      </c>
      <c r="H7">
        <v>390</v>
      </c>
      <c r="I7" t="s">
        <v>81</v>
      </c>
    </row>
    <row r="8" spans="1:9" x14ac:dyDescent="0.2">
      <c r="A8">
        <v>7</v>
      </c>
      <c r="B8" t="s">
        <v>3</v>
      </c>
      <c r="C8" t="s">
        <v>114</v>
      </c>
      <c r="D8">
        <v>14</v>
      </c>
      <c r="E8">
        <v>17</v>
      </c>
      <c r="F8">
        <v>7.7</v>
      </c>
      <c r="G8">
        <v>18.899999999999999</v>
      </c>
      <c r="H8">
        <v>380</v>
      </c>
      <c r="I8" t="s">
        <v>73</v>
      </c>
    </row>
    <row r="9" spans="1:9" x14ac:dyDescent="0.2">
      <c r="A9">
        <v>8</v>
      </c>
      <c r="B9" t="s">
        <v>115</v>
      </c>
      <c r="C9" t="s">
        <v>105</v>
      </c>
      <c r="D9">
        <v>15</v>
      </c>
      <c r="E9">
        <v>16</v>
      </c>
      <c r="F9">
        <v>7.4</v>
      </c>
      <c r="G9">
        <v>20</v>
      </c>
      <c r="H9">
        <v>370</v>
      </c>
      <c r="I9" t="s">
        <v>98</v>
      </c>
    </row>
    <row r="10" spans="1:9" x14ac:dyDescent="0.2">
      <c r="A10">
        <v>9</v>
      </c>
      <c r="B10" t="s">
        <v>116</v>
      </c>
      <c r="C10" t="s">
        <v>103</v>
      </c>
      <c r="D10">
        <v>16</v>
      </c>
      <c r="E10">
        <v>16</v>
      </c>
      <c r="F10">
        <v>7.2</v>
      </c>
      <c r="G10">
        <v>21.2</v>
      </c>
      <c r="H10">
        <v>360</v>
      </c>
      <c r="I10" t="s">
        <v>117</v>
      </c>
    </row>
    <row r="11" spans="1:9" x14ac:dyDescent="0.2">
      <c r="A11">
        <v>10</v>
      </c>
      <c r="B11" t="s">
        <v>118</v>
      </c>
      <c r="C11" t="s">
        <v>109</v>
      </c>
      <c r="D11">
        <v>11</v>
      </c>
      <c r="E11">
        <v>15</v>
      </c>
      <c r="F11">
        <v>8.1999999999999993</v>
      </c>
      <c r="G11">
        <v>22</v>
      </c>
      <c r="H11">
        <v>345</v>
      </c>
      <c r="I11" t="s">
        <v>119</v>
      </c>
    </row>
    <row r="12" spans="1:9" x14ac:dyDescent="0.2">
      <c r="A12">
        <v>11</v>
      </c>
      <c r="B12" t="s">
        <v>120</v>
      </c>
      <c r="C12" t="s">
        <v>121</v>
      </c>
      <c r="D12">
        <v>10</v>
      </c>
      <c r="E12">
        <v>15</v>
      </c>
      <c r="F12">
        <v>7.1</v>
      </c>
      <c r="G12">
        <v>18.5</v>
      </c>
      <c r="H12">
        <v>340</v>
      </c>
      <c r="I12" t="s">
        <v>94</v>
      </c>
    </row>
    <row r="13" spans="1:9" x14ac:dyDescent="0.2">
      <c r="A13">
        <v>12</v>
      </c>
      <c r="B13" t="s">
        <v>122</v>
      </c>
      <c r="C13" t="s">
        <v>114</v>
      </c>
      <c r="D13">
        <v>10</v>
      </c>
      <c r="E13">
        <v>14</v>
      </c>
      <c r="F13">
        <v>7.9</v>
      </c>
      <c r="G13">
        <v>23.4</v>
      </c>
      <c r="H13">
        <v>335</v>
      </c>
      <c r="I13" t="s">
        <v>84</v>
      </c>
    </row>
    <row r="14" spans="1:9" x14ac:dyDescent="0.2">
      <c r="A14">
        <v>13</v>
      </c>
      <c r="B14" t="s">
        <v>123</v>
      </c>
      <c r="C14" t="s">
        <v>107</v>
      </c>
      <c r="D14">
        <v>12</v>
      </c>
      <c r="E14">
        <v>14</v>
      </c>
      <c r="F14">
        <v>7.4</v>
      </c>
      <c r="G14">
        <v>21.3</v>
      </c>
      <c r="H14">
        <v>330</v>
      </c>
      <c r="I14" t="s">
        <v>92</v>
      </c>
    </row>
    <row r="15" spans="1:9" x14ac:dyDescent="0.2">
      <c r="A15">
        <v>14</v>
      </c>
      <c r="B15" t="s">
        <v>124</v>
      </c>
      <c r="C15" t="s">
        <v>103</v>
      </c>
      <c r="D15">
        <v>14</v>
      </c>
      <c r="E15">
        <v>14</v>
      </c>
      <c r="F15">
        <v>7.5</v>
      </c>
      <c r="G15">
        <v>22.8</v>
      </c>
      <c r="H15">
        <v>325</v>
      </c>
      <c r="I15" t="s">
        <v>89</v>
      </c>
    </row>
    <row r="16" spans="1:9" x14ac:dyDescent="0.2">
      <c r="A16">
        <v>15</v>
      </c>
      <c r="B16" t="s">
        <v>125</v>
      </c>
      <c r="C16" t="s">
        <v>107</v>
      </c>
      <c r="D16">
        <v>12</v>
      </c>
      <c r="E16">
        <v>13</v>
      </c>
      <c r="F16">
        <v>7.7</v>
      </c>
      <c r="G16">
        <v>24</v>
      </c>
      <c r="H16">
        <v>320</v>
      </c>
      <c r="I16" t="s">
        <v>126</v>
      </c>
    </row>
    <row r="17" spans="1:9" x14ac:dyDescent="0.2">
      <c r="A17">
        <v>16</v>
      </c>
      <c r="B17" t="s">
        <v>127</v>
      </c>
      <c r="C17" t="s">
        <v>114</v>
      </c>
      <c r="D17">
        <v>11</v>
      </c>
      <c r="E17">
        <v>13</v>
      </c>
      <c r="F17">
        <v>7.2</v>
      </c>
      <c r="G17">
        <v>22.5</v>
      </c>
      <c r="H17">
        <v>315</v>
      </c>
      <c r="I17" t="s">
        <v>117</v>
      </c>
    </row>
    <row r="18" spans="1:9" x14ac:dyDescent="0.2">
      <c r="A18">
        <v>17</v>
      </c>
      <c r="B18" t="s">
        <v>128</v>
      </c>
      <c r="C18" t="s">
        <v>129</v>
      </c>
      <c r="D18">
        <v>10</v>
      </c>
      <c r="E18">
        <v>12</v>
      </c>
      <c r="F18">
        <v>7.8</v>
      </c>
      <c r="G18">
        <v>22</v>
      </c>
      <c r="H18">
        <v>305</v>
      </c>
      <c r="I18" t="s">
        <v>130</v>
      </c>
    </row>
    <row r="19" spans="1:9" x14ac:dyDescent="0.2">
      <c r="A19">
        <v>18</v>
      </c>
      <c r="B19" t="s">
        <v>131</v>
      </c>
      <c r="C19" t="s">
        <v>107</v>
      </c>
      <c r="D19">
        <v>14</v>
      </c>
      <c r="E19">
        <v>12</v>
      </c>
      <c r="F19">
        <v>8.1</v>
      </c>
      <c r="G19">
        <v>23.6</v>
      </c>
      <c r="H19">
        <v>300</v>
      </c>
      <c r="I19" t="s">
        <v>84</v>
      </c>
    </row>
    <row r="20" spans="1:9" x14ac:dyDescent="0.2">
      <c r="A20">
        <v>19</v>
      </c>
      <c r="B20" t="s">
        <v>132</v>
      </c>
      <c r="C20" t="s">
        <v>105</v>
      </c>
      <c r="D20">
        <v>15</v>
      </c>
      <c r="E20">
        <v>12</v>
      </c>
      <c r="F20">
        <v>6.9</v>
      </c>
      <c r="G20">
        <v>25.2</v>
      </c>
      <c r="H20">
        <v>295</v>
      </c>
      <c r="I20" t="s">
        <v>75</v>
      </c>
    </row>
    <row r="21" spans="1:9" x14ac:dyDescent="0.2">
      <c r="A21">
        <v>20</v>
      </c>
      <c r="B21" t="s">
        <v>133</v>
      </c>
      <c r="C21" t="s">
        <v>114</v>
      </c>
      <c r="D21">
        <v>10</v>
      </c>
      <c r="E21">
        <v>11</v>
      </c>
      <c r="F21">
        <v>8.4</v>
      </c>
      <c r="G21">
        <v>24.5</v>
      </c>
      <c r="H21">
        <v>290</v>
      </c>
      <c r="I21" t="s">
        <v>134</v>
      </c>
    </row>
    <row r="22" spans="1:9" x14ac:dyDescent="0.2">
      <c r="A22">
        <v>21</v>
      </c>
      <c r="B22" t="s">
        <v>135</v>
      </c>
      <c r="C22" t="s">
        <v>103</v>
      </c>
      <c r="D22">
        <v>12</v>
      </c>
      <c r="E22">
        <v>11</v>
      </c>
      <c r="F22">
        <v>7.9</v>
      </c>
      <c r="G22">
        <v>26.1</v>
      </c>
      <c r="H22">
        <v>285</v>
      </c>
      <c r="I22" t="s">
        <v>136</v>
      </c>
    </row>
    <row r="23" spans="1:9" x14ac:dyDescent="0.2">
      <c r="A23">
        <v>22</v>
      </c>
      <c r="B23" t="s">
        <v>137</v>
      </c>
      <c r="C23" t="s">
        <v>105</v>
      </c>
      <c r="D23">
        <v>10</v>
      </c>
      <c r="E23">
        <v>11</v>
      </c>
      <c r="F23">
        <v>7.5</v>
      </c>
      <c r="G23">
        <v>23.8</v>
      </c>
      <c r="H23">
        <v>280</v>
      </c>
      <c r="I23" t="s">
        <v>73</v>
      </c>
    </row>
    <row r="24" spans="1:9" x14ac:dyDescent="0.2">
      <c r="A24">
        <v>23</v>
      </c>
      <c r="B24" t="s">
        <v>138</v>
      </c>
      <c r="C24" t="s">
        <v>114</v>
      </c>
      <c r="D24">
        <v>12</v>
      </c>
      <c r="E24">
        <v>11</v>
      </c>
      <c r="F24">
        <v>7.6</v>
      </c>
      <c r="G24">
        <v>25.3</v>
      </c>
      <c r="H24">
        <v>275</v>
      </c>
      <c r="I24" t="s">
        <v>139</v>
      </c>
    </row>
    <row r="25" spans="1:9" x14ac:dyDescent="0.2">
      <c r="A25">
        <v>24</v>
      </c>
      <c r="B25" t="s">
        <v>140</v>
      </c>
      <c r="C25" t="s">
        <v>141</v>
      </c>
      <c r="D25">
        <v>13</v>
      </c>
      <c r="E25">
        <v>10</v>
      </c>
      <c r="F25">
        <v>8.5</v>
      </c>
      <c r="G25">
        <v>26</v>
      </c>
      <c r="H25">
        <v>270</v>
      </c>
      <c r="I25" t="s">
        <v>101</v>
      </c>
    </row>
    <row r="26" spans="1:9" x14ac:dyDescent="0.2">
      <c r="A26">
        <v>25</v>
      </c>
      <c r="B26" t="s">
        <v>142</v>
      </c>
      <c r="C26" t="s">
        <v>114</v>
      </c>
      <c r="D26">
        <v>9</v>
      </c>
      <c r="E26">
        <v>10</v>
      </c>
      <c r="F26">
        <v>7</v>
      </c>
      <c r="G26">
        <v>22.9</v>
      </c>
      <c r="H26">
        <v>265</v>
      </c>
      <c r="I26" t="s">
        <v>143</v>
      </c>
    </row>
    <row r="27" spans="1:9" x14ac:dyDescent="0.2">
      <c r="A27">
        <v>26</v>
      </c>
      <c r="B27" t="s">
        <v>144</v>
      </c>
      <c r="C27" t="s">
        <v>121</v>
      </c>
      <c r="D27">
        <v>10</v>
      </c>
      <c r="E27">
        <v>10</v>
      </c>
      <c r="F27">
        <v>7.8</v>
      </c>
      <c r="G27">
        <v>25.1</v>
      </c>
      <c r="H27">
        <v>260</v>
      </c>
      <c r="I27" t="s">
        <v>91</v>
      </c>
    </row>
    <row r="28" spans="1:9" x14ac:dyDescent="0.2">
      <c r="A28">
        <v>27</v>
      </c>
      <c r="B28" t="s">
        <v>145</v>
      </c>
      <c r="C28" t="s">
        <v>109</v>
      </c>
      <c r="D28">
        <v>8</v>
      </c>
      <c r="E28">
        <v>9</v>
      </c>
      <c r="F28">
        <v>7.6</v>
      </c>
      <c r="G28">
        <v>24.5</v>
      </c>
      <c r="H28">
        <v>255</v>
      </c>
      <c r="I28" t="s">
        <v>136</v>
      </c>
    </row>
    <row r="29" spans="1:9" x14ac:dyDescent="0.2">
      <c r="A29">
        <v>28</v>
      </c>
      <c r="B29" t="s">
        <v>146</v>
      </c>
      <c r="C29" t="s">
        <v>103</v>
      </c>
      <c r="D29">
        <v>10</v>
      </c>
      <c r="E29">
        <v>9</v>
      </c>
      <c r="F29">
        <v>8</v>
      </c>
      <c r="G29">
        <v>23.9</v>
      </c>
      <c r="H29">
        <v>250</v>
      </c>
      <c r="I29" t="s">
        <v>89</v>
      </c>
    </row>
    <row r="30" spans="1:9" x14ac:dyDescent="0.2">
      <c r="A30">
        <v>29</v>
      </c>
      <c r="B30" t="s">
        <v>147</v>
      </c>
      <c r="C30" t="s">
        <v>121</v>
      </c>
      <c r="D30">
        <v>8</v>
      </c>
      <c r="E30">
        <v>8</v>
      </c>
      <c r="F30">
        <v>7.9</v>
      </c>
      <c r="G30">
        <v>25.8</v>
      </c>
      <c r="H30">
        <v>245</v>
      </c>
      <c r="I30" t="s">
        <v>84</v>
      </c>
    </row>
    <row r="31" spans="1:9" x14ac:dyDescent="0.2">
      <c r="A31">
        <v>30</v>
      </c>
      <c r="B31" t="s">
        <v>148</v>
      </c>
      <c r="C31" t="s">
        <v>141</v>
      </c>
      <c r="D31">
        <v>14</v>
      </c>
      <c r="E31">
        <v>8</v>
      </c>
      <c r="F31">
        <v>8.5</v>
      </c>
      <c r="G31">
        <v>26.4</v>
      </c>
      <c r="H31">
        <v>240</v>
      </c>
      <c r="I31" t="s">
        <v>89</v>
      </c>
    </row>
    <row r="32" spans="1:9" x14ac:dyDescent="0.2">
      <c r="A32">
        <v>31</v>
      </c>
      <c r="B32" t="s">
        <v>149</v>
      </c>
      <c r="C32" t="s">
        <v>109</v>
      </c>
      <c r="D32">
        <v>7</v>
      </c>
      <c r="E32">
        <v>8</v>
      </c>
      <c r="F32">
        <v>7.6</v>
      </c>
      <c r="G32">
        <v>24.3</v>
      </c>
      <c r="H32">
        <v>230</v>
      </c>
      <c r="I32" t="s">
        <v>91</v>
      </c>
    </row>
    <row r="33" spans="1:9" x14ac:dyDescent="0.2">
      <c r="A33">
        <v>32</v>
      </c>
      <c r="B33" t="s">
        <v>150</v>
      </c>
      <c r="C33" t="s">
        <v>113</v>
      </c>
      <c r="D33">
        <v>8</v>
      </c>
      <c r="E33">
        <v>7</v>
      </c>
      <c r="F33">
        <v>7.5</v>
      </c>
      <c r="G33">
        <v>26.9</v>
      </c>
      <c r="H33">
        <v>225</v>
      </c>
      <c r="I33" t="s">
        <v>151</v>
      </c>
    </row>
    <row r="34" spans="1:9" x14ac:dyDescent="0.2">
      <c r="A34">
        <v>33</v>
      </c>
      <c r="B34" t="s">
        <v>152</v>
      </c>
      <c r="C34" t="s">
        <v>129</v>
      </c>
      <c r="D34">
        <v>7</v>
      </c>
      <c r="E34">
        <v>7</v>
      </c>
      <c r="F34">
        <v>7.9</v>
      </c>
      <c r="G34">
        <v>27.4</v>
      </c>
      <c r="H34">
        <v>220</v>
      </c>
      <c r="I34" t="s">
        <v>73</v>
      </c>
    </row>
    <row r="35" spans="1:9" x14ac:dyDescent="0.2">
      <c r="A35">
        <v>34</v>
      </c>
      <c r="B35" t="s">
        <v>153</v>
      </c>
      <c r="C35" t="s">
        <v>113</v>
      </c>
      <c r="D35">
        <v>6</v>
      </c>
      <c r="E35">
        <v>6</v>
      </c>
      <c r="F35">
        <v>7.1</v>
      </c>
      <c r="G35">
        <v>25.6</v>
      </c>
      <c r="H35">
        <v>210</v>
      </c>
      <c r="I35" t="s">
        <v>99</v>
      </c>
    </row>
    <row r="36" spans="1:9" x14ac:dyDescent="0.2">
      <c r="A36">
        <v>35</v>
      </c>
      <c r="B36" t="s">
        <v>154</v>
      </c>
      <c r="C36" t="s">
        <v>105</v>
      </c>
      <c r="D36">
        <v>7</v>
      </c>
      <c r="E36">
        <v>6</v>
      </c>
      <c r="F36">
        <v>7.5</v>
      </c>
      <c r="G36">
        <v>28.2</v>
      </c>
      <c r="H36">
        <v>205</v>
      </c>
      <c r="I36" t="s">
        <v>155</v>
      </c>
    </row>
    <row r="37" spans="1:9" x14ac:dyDescent="0.2">
      <c r="A37">
        <v>36</v>
      </c>
      <c r="B37" t="s">
        <v>156</v>
      </c>
      <c r="C37" t="s">
        <v>141</v>
      </c>
      <c r="D37">
        <v>8</v>
      </c>
      <c r="E37">
        <v>6</v>
      </c>
      <c r="F37">
        <v>7.3</v>
      </c>
      <c r="G37">
        <v>26.7</v>
      </c>
      <c r="H37">
        <v>200</v>
      </c>
      <c r="I37" t="s">
        <v>91</v>
      </c>
    </row>
    <row r="38" spans="1:9" x14ac:dyDescent="0.2">
      <c r="A38">
        <v>37</v>
      </c>
      <c r="B38" t="s">
        <v>157</v>
      </c>
      <c r="C38" t="s">
        <v>105</v>
      </c>
      <c r="D38">
        <v>8</v>
      </c>
      <c r="E38">
        <v>5</v>
      </c>
      <c r="F38">
        <v>7.6</v>
      </c>
      <c r="G38">
        <v>28.6</v>
      </c>
      <c r="H38">
        <v>195</v>
      </c>
      <c r="I38" t="s">
        <v>72</v>
      </c>
    </row>
    <row r="39" spans="1:9" x14ac:dyDescent="0.2">
      <c r="A39">
        <v>38</v>
      </c>
      <c r="B39" t="s">
        <v>158</v>
      </c>
      <c r="C39" t="s">
        <v>141</v>
      </c>
      <c r="D39">
        <v>6</v>
      </c>
      <c r="E39">
        <v>5</v>
      </c>
      <c r="F39">
        <v>7.2</v>
      </c>
      <c r="G39">
        <v>29.4</v>
      </c>
      <c r="H39">
        <v>190</v>
      </c>
      <c r="I39" t="s">
        <v>159</v>
      </c>
    </row>
    <row r="40" spans="1:9" x14ac:dyDescent="0.2">
      <c r="A40">
        <v>39</v>
      </c>
      <c r="B40" t="s">
        <v>160</v>
      </c>
      <c r="C40" t="s">
        <v>114</v>
      </c>
      <c r="D40">
        <v>5</v>
      </c>
      <c r="E40">
        <v>5</v>
      </c>
      <c r="F40">
        <v>7</v>
      </c>
      <c r="G40">
        <v>24.8</v>
      </c>
      <c r="H40">
        <v>185</v>
      </c>
      <c r="I40" t="s">
        <v>76</v>
      </c>
    </row>
    <row r="41" spans="1:9" x14ac:dyDescent="0.2">
      <c r="A41">
        <v>40</v>
      </c>
      <c r="B41" t="s">
        <v>161</v>
      </c>
      <c r="C41" t="s">
        <v>129</v>
      </c>
      <c r="D41">
        <v>6</v>
      </c>
      <c r="E41">
        <v>5</v>
      </c>
      <c r="F41">
        <v>7.4</v>
      </c>
      <c r="G41">
        <v>30.5</v>
      </c>
      <c r="H41">
        <v>180</v>
      </c>
      <c r="I41" t="s">
        <v>84</v>
      </c>
    </row>
    <row r="42" spans="1:9" x14ac:dyDescent="0.2">
      <c r="A42">
        <v>41</v>
      </c>
      <c r="B42" t="s">
        <v>162</v>
      </c>
      <c r="C42" t="s">
        <v>103</v>
      </c>
      <c r="D42">
        <v>6</v>
      </c>
      <c r="E42">
        <v>5</v>
      </c>
      <c r="F42">
        <v>7.8</v>
      </c>
      <c r="G42">
        <v>28.8</v>
      </c>
      <c r="H42">
        <v>175</v>
      </c>
      <c r="I42" t="s">
        <v>76</v>
      </c>
    </row>
    <row r="43" spans="1:9" x14ac:dyDescent="0.2">
      <c r="A43">
        <v>42</v>
      </c>
      <c r="B43" t="s">
        <v>163</v>
      </c>
      <c r="C43" t="s">
        <v>129</v>
      </c>
      <c r="D43">
        <v>5</v>
      </c>
      <c r="E43">
        <v>5</v>
      </c>
      <c r="F43">
        <v>8.1999999999999993</v>
      </c>
      <c r="G43">
        <v>27.5</v>
      </c>
      <c r="H43">
        <v>170</v>
      </c>
      <c r="I43" t="s">
        <v>84</v>
      </c>
    </row>
    <row r="44" spans="1:9" x14ac:dyDescent="0.2">
      <c r="A44">
        <v>43</v>
      </c>
      <c r="B44" t="s">
        <v>164</v>
      </c>
      <c r="C44" t="s">
        <v>103</v>
      </c>
      <c r="D44">
        <v>6</v>
      </c>
      <c r="E44">
        <v>4</v>
      </c>
      <c r="F44">
        <v>8.1</v>
      </c>
      <c r="G44">
        <v>29.1</v>
      </c>
      <c r="H44">
        <v>165</v>
      </c>
      <c r="I44" t="s">
        <v>84</v>
      </c>
    </row>
    <row r="45" spans="1:9" x14ac:dyDescent="0.2">
      <c r="A45">
        <v>44</v>
      </c>
      <c r="B45" t="s">
        <v>165</v>
      </c>
      <c r="C45" t="s">
        <v>105</v>
      </c>
      <c r="D45">
        <v>4</v>
      </c>
      <c r="E45">
        <v>4</v>
      </c>
      <c r="F45">
        <v>7.6</v>
      </c>
      <c r="G45">
        <v>30</v>
      </c>
      <c r="H45">
        <v>160</v>
      </c>
      <c r="I45" t="s">
        <v>130</v>
      </c>
    </row>
  </sheetData>
  <autoFilter ref="A1:I45" xr:uid="{EF277F92-0869-C34F-BD61-C4BDE57259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0971-FBCD-A442-B809-14C537EDFCCA}">
  <dimension ref="A1:K47"/>
  <sheetViews>
    <sheetView workbookViewId="0">
      <selection activeCell="H2" sqref="H2:H47"/>
    </sheetView>
  </sheetViews>
  <sheetFormatPr baseColWidth="10" defaultRowHeight="16" x14ac:dyDescent="0.2"/>
  <cols>
    <col min="1" max="1" width="5.33203125" bestFit="1" customWidth="1"/>
    <col min="2" max="2" width="17.5" bestFit="1" customWidth="1"/>
    <col min="3" max="3" width="5.6640625" bestFit="1" customWidth="1"/>
    <col min="4" max="4" width="8.33203125" bestFit="1" customWidth="1"/>
    <col min="5" max="5" width="5.33203125" bestFit="1" customWidth="1"/>
    <col min="6" max="6" width="13.83203125" customWidth="1"/>
    <col min="7" max="7" width="8" bestFit="1" customWidth="1"/>
    <col min="8" max="8" width="14.83203125" customWidth="1"/>
    <col min="9" max="9" width="8.6640625" bestFit="1" customWidth="1"/>
    <col min="10" max="10" width="12.6640625" bestFit="1" customWidth="1"/>
    <col min="11" max="11" width="17" bestFit="1" customWidth="1"/>
  </cols>
  <sheetData>
    <row r="1" spans="1:11" x14ac:dyDescent="0.2">
      <c r="A1" s="1" t="s">
        <v>10</v>
      </c>
      <c r="B1" s="1" t="s">
        <v>0</v>
      </c>
      <c r="C1" s="1" t="s">
        <v>11</v>
      </c>
      <c r="D1" s="1" t="s">
        <v>1</v>
      </c>
      <c r="E1" s="1" t="s">
        <v>12</v>
      </c>
      <c r="F1" s="1" t="s">
        <v>5</v>
      </c>
      <c r="G1" s="1" t="s">
        <v>2</v>
      </c>
      <c r="H1" s="1" t="s">
        <v>6</v>
      </c>
      <c r="I1" s="1" t="s">
        <v>4</v>
      </c>
      <c r="J1" s="1" t="s">
        <v>7</v>
      </c>
      <c r="K1" s="1" t="s">
        <v>102</v>
      </c>
    </row>
    <row r="2" spans="1:11" x14ac:dyDescent="0.2">
      <c r="A2">
        <v>1</v>
      </c>
      <c r="B2" t="s">
        <v>41</v>
      </c>
      <c r="C2" t="s">
        <v>121</v>
      </c>
      <c r="D2">
        <v>14</v>
      </c>
      <c r="E2">
        <v>400</v>
      </c>
      <c r="F2">
        <v>36.36</v>
      </c>
      <c r="G2">
        <v>15</v>
      </c>
      <c r="H2">
        <v>23.47</v>
      </c>
      <c r="I2">
        <v>8.1999999999999993</v>
      </c>
      <c r="J2">
        <v>520</v>
      </c>
      <c r="K2" t="s">
        <v>87</v>
      </c>
    </row>
    <row r="3" spans="1:11" x14ac:dyDescent="0.2">
      <c r="A3">
        <v>2</v>
      </c>
      <c r="B3" t="s">
        <v>166</v>
      </c>
      <c r="C3" t="s">
        <v>113</v>
      </c>
      <c r="D3">
        <v>13</v>
      </c>
      <c r="E3">
        <v>380</v>
      </c>
      <c r="F3">
        <v>34.549999999999997</v>
      </c>
      <c r="G3">
        <v>12</v>
      </c>
      <c r="H3">
        <v>22.75</v>
      </c>
      <c r="I3">
        <v>7.6</v>
      </c>
      <c r="J3">
        <v>500</v>
      </c>
      <c r="K3" t="s">
        <v>167</v>
      </c>
    </row>
    <row r="4" spans="1:11" x14ac:dyDescent="0.2">
      <c r="A4">
        <v>3</v>
      </c>
      <c r="B4" t="s">
        <v>168</v>
      </c>
      <c r="C4" t="s">
        <v>129</v>
      </c>
      <c r="D4">
        <v>14</v>
      </c>
      <c r="E4">
        <v>320</v>
      </c>
      <c r="F4">
        <v>28.18</v>
      </c>
      <c r="G4">
        <v>13</v>
      </c>
      <c r="H4">
        <v>24.31</v>
      </c>
      <c r="I4">
        <v>7.9</v>
      </c>
      <c r="J4">
        <v>480</v>
      </c>
      <c r="K4" t="s">
        <v>169</v>
      </c>
    </row>
    <row r="5" spans="1:11" x14ac:dyDescent="0.2">
      <c r="A5">
        <v>4</v>
      </c>
      <c r="B5" t="s">
        <v>170</v>
      </c>
      <c r="C5" t="s">
        <v>109</v>
      </c>
      <c r="D5">
        <v>13</v>
      </c>
      <c r="E5">
        <v>310</v>
      </c>
      <c r="F5">
        <v>27.27</v>
      </c>
      <c r="G5">
        <v>11</v>
      </c>
      <c r="H5">
        <v>24.18</v>
      </c>
      <c r="I5">
        <v>7.4</v>
      </c>
      <c r="J5">
        <v>470</v>
      </c>
      <c r="K5" t="s">
        <v>171</v>
      </c>
    </row>
    <row r="6" spans="1:11" x14ac:dyDescent="0.2">
      <c r="A6">
        <v>5</v>
      </c>
      <c r="B6" t="s">
        <v>23</v>
      </c>
      <c r="C6" t="s">
        <v>141</v>
      </c>
      <c r="D6">
        <v>13</v>
      </c>
      <c r="E6">
        <v>318</v>
      </c>
      <c r="F6">
        <v>29.81</v>
      </c>
      <c r="G6">
        <v>10</v>
      </c>
      <c r="H6">
        <v>26.5</v>
      </c>
      <c r="I6">
        <v>7.8</v>
      </c>
      <c r="J6">
        <v>460</v>
      </c>
      <c r="K6" t="s">
        <v>75</v>
      </c>
    </row>
    <row r="7" spans="1:11" x14ac:dyDescent="0.2">
      <c r="A7">
        <v>6</v>
      </c>
      <c r="B7" t="s">
        <v>172</v>
      </c>
      <c r="C7" t="s">
        <v>114</v>
      </c>
      <c r="D7">
        <v>12</v>
      </c>
      <c r="E7">
        <v>290</v>
      </c>
      <c r="F7">
        <v>26.36</v>
      </c>
      <c r="G7">
        <v>9</v>
      </c>
      <c r="H7">
        <v>28.22</v>
      </c>
      <c r="I7">
        <v>7.3</v>
      </c>
      <c r="J7">
        <v>450</v>
      </c>
      <c r="K7" t="s">
        <v>117</v>
      </c>
    </row>
    <row r="8" spans="1:11" x14ac:dyDescent="0.2">
      <c r="A8">
        <v>7</v>
      </c>
      <c r="B8" t="s">
        <v>173</v>
      </c>
      <c r="C8" t="s">
        <v>103</v>
      </c>
      <c r="D8">
        <v>14</v>
      </c>
      <c r="E8">
        <v>260</v>
      </c>
      <c r="F8">
        <v>23.64</v>
      </c>
      <c r="G8">
        <v>12</v>
      </c>
      <c r="H8">
        <v>25.75</v>
      </c>
      <c r="I8">
        <v>7.1</v>
      </c>
      <c r="J8">
        <v>430</v>
      </c>
      <c r="K8" t="s">
        <v>174</v>
      </c>
    </row>
    <row r="9" spans="1:11" x14ac:dyDescent="0.2">
      <c r="A9">
        <v>8</v>
      </c>
      <c r="B9" t="s">
        <v>175</v>
      </c>
      <c r="C9" t="s">
        <v>105</v>
      </c>
      <c r="D9">
        <v>13</v>
      </c>
      <c r="E9">
        <v>250</v>
      </c>
      <c r="F9">
        <v>22.73</v>
      </c>
      <c r="G9">
        <v>11</v>
      </c>
      <c r="H9">
        <v>26.73</v>
      </c>
      <c r="I9">
        <v>7.5</v>
      </c>
      <c r="J9">
        <v>420</v>
      </c>
      <c r="K9" t="s">
        <v>176</v>
      </c>
    </row>
    <row r="10" spans="1:11" x14ac:dyDescent="0.2">
      <c r="A10">
        <v>9</v>
      </c>
      <c r="B10" t="s">
        <v>177</v>
      </c>
      <c r="C10" t="s">
        <v>107</v>
      </c>
      <c r="D10">
        <v>12</v>
      </c>
      <c r="E10">
        <v>240</v>
      </c>
      <c r="F10">
        <v>21.82</v>
      </c>
      <c r="G10">
        <v>10</v>
      </c>
      <c r="H10">
        <v>27.4</v>
      </c>
      <c r="I10">
        <v>7.9</v>
      </c>
      <c r="J10">
        <v>410</v>
      </c>
      <c r="K10" t="s">
        <v>89</v>
      </c>
    </row>
    <row r="11" spans="1:11" x14ac:dyDescent="0.2">
      <c r="A11">
        <v>10</v>
      </c>
      <c r="B11" t="s">
        <v>178</v>
      </c>
      <c r="C11" t="s">
        <v>105</v>
      </c>
      <c r="D11">
        <v>11</v>
      </c>
      <c r="E11">
        <v>220</v>
      </c>
      <c r="F11">
        <v>20</v>
      </c>
      <c r="G11">
        <v>9</v>
      </c>
      <c r="H11">
        <v>28.11</v>
      </c>
      <c r="I11">
        <v>7.7</v>
      </c>
      <c r="J11">
        <v>400</v>
      </c>
      <c r="K11" t="s">
        <v>130</v>
      </c>
    </row>
    <row r="12" spans="1:11" x14ac:dyDescent="0.2">
      <c r="A12">
        <v>11</v>
      </c>
      <c r="B12" t="s">
        <v>145</v>
      </c>
      <c r="C12" t="s">
        <v>109</v>
      </c>
      <c r="D12">
        <v>8</v>
      </c>
      <c r="E12">
        <v>200</v>
      </c>
      <c r="F12">
        <v>25</v>
      </c>
      <c r="G12">
        <v>8</v>
      </c>
      <c r="H12">
        <v>28.75</v>
      </c>
      <c r="I12">
        <v>7.6</v>
      </c>
      <c r="J12">
        <v>390</v>
      </c>
      <c r="K12" t="s">
        <v>136</v>
      </c>
    </row>
    <row r="13" spans="1:11" x14ac:dyDescent="0.2">
      <c r="A13">
        <v>12</v>
      </c>
      <c r="B13" t="s">
        <v>60</v>
      </c>
      <c r="C13" t="s">
        <v>103</v>
      </c>
      <c r="D13">
        <v>16</v>
      </c>
      <c r="E13">
        <v>136</v>
      </c>
      <c r="F13">
        <v>17</v>
      </c>
      <c r="G13">
        <v>23</v>
      </c>
      <c r="H13">
        <v>20.3</v>
      </c>
      <c r="I13">
        <v>7.8</v>
      </c>
      <c r="J13">
        <v>385</v>
      </c>
      <c r="K13" t="s">
        <v>96</v>
      </c>
    </row>
    <row r="14" spans="1:11" x14ac:dyDescent="0.2">
      <c r="A14">
        <v>13</v>
      </c>
      <c r="B14" t="s">
        <v>179</v>
      </c>
      <c r="C14" t="s">
        <v>113</v>
      </c>
      <c r="D14">
        <v>10</v>
      </c>
      <c r="E14">
        <v>140</v>
      </c>
      <c r="F14">
        <v>18.670000000000002</v>
      </c>
      <c r="G14">
        <v>16</v>
      </c>
      <c r="H14">
        <v>19.25</v>
      </c>
      <c r="I14">
        <v>7.2</v>
      </c>
      <c r="J14">
        <v>370</v>
      </c>
      <c r="K14" t="s">
        <v>130</v>
      </c>
    </row>
    <row r="15" spans="1:11" x14ac:dyDescent="0.2">
      <c r="A15">
        <v>14</v>
      </c>
      <c r="B15" t="s">
        <v>111</v>
      </c>
      <c r="C15" t="s">
        <v>109</v>
      </c>
      <c r="D15">
        <v>14</v>
      </c>
      <c r="E15">
        <v>170</v>
      </c>
      <c r="F15">
        <v>21.25</v>
      </c>
      <c r="G15">
        <v>17</v>
      </c>
      <c r="H15">
        <v>24.76</v>
      </c>
      <c r="I15">
        <v>8</v>
      </c>
      <c r="J15">
        <v>360</v>
      </c>
      <c r="K15" t="s">
        <v>110</v>
      </c>
    </row>
    <row r="16" spans="1:11" x14ac:dyDescent="0.2">
      <c r="A16">
        <v>15</v>
      </c>
      <c r="B16" t="s">
        <v>39</v>
      </c>
      <c r="C16" t="s">
        <v>141</v>
      </c>
      <c r="D16">
        <v>10</v>
      </c>
      <c r="E16">
        <v>222</v>
      </c>
      <c r="F16">
        <v>31.71</v>
      </c>
      <c r="G16">
        <v>8</v>
      </c>
      <c r="H16">
        <v>27.13</v>
      </c>
      <c r="I16">
        <v>7.4</v>
      </c>
      <c r="J16">
        <v>350</v>
      </c>
      <c r="K16" t="s">
        <v>73</v>
      </c>
    </row>
    <row r="17" spans="1:11" x14ac:dyDescent="0.2">
      <c r="A17">
        <v>16</v>
      </c>
      <c r="B17" t="s">
        <v>133</v>
      </c>
      <c r="C17" t="s">
        <v>114</v>
      </c>
      <c r="D17">
        <v>10</v>
      </c>
      <c r="E17">
        <v>150</v>
      </c>
      <c r="F17">
        <v>18.75</v>
      </c>
      <c r="G17">
        <v>11</v>
      </c>
      <c r="H17">
        <v>26.45</v>
      </c>
      <c r="I17">
        <v>7.9</v>
      </c>
      <c r="J17">
        <v>345</v>
      </c>
      <c r="K17" t="s">
        <v>134</v>
      </c>
    </row>
    <row r="18" spans="1:11" x14ac:dyDescent="0.2">
      <c r="A18">
        <v>17</v>
      </c>
      <c r="B18" t="s">
        <v>180</v>
      </c>
      <c r="C18" t="s">
        <v>113</v>
      </c>
      <c r="D18">
        <v>8</v>
      </c>
      <c r="E18">
        <v>140</v>
      </c>
      <c r="F18">
        <v>23.33</v>
      </c>
      <c r="G18">
        <v>9</v>
      </c>
      <c r="H18">
        <v>28.89</v>
      </c>
      <c r="I18">
        <v>7.3</v>
      </c>
      <c r="J18">
        <v>330</v>
      </c>
      <c r="K18" t="s">
        <v>76</v>
      </c>
    </row>
    <row r="19" spans="1:11" x14ac:dyDescent="0.2">
      <c r="A19">
        <v>18</v>
      </c>
      <c r="B19" t="s">
        <v>181</v>
      </c>
      <c r="C19" t="s">
        <v>109</v>
      </c>
      <c r="D19">
        <v>7</v>
      </c>
      <c r="E19">
        <v>130</v>
      </c>
      <c r="F19">
        <v>21.67</v>
      </c>
      <c r="G19">
        <v>8</v>
      </c>
      <c r="H19">
        <v>26.25</v>
      </c>
      <c r="I19">
        <v>7.1</v>
      </c>
      <c r="J19">
        <v>320</v>
      </c>
      <c r="K19" t="s">
        <v>91</v>
      </c>
    </row>
    <row r="20" spans="1:11" x14ac:dyDescent="0.2">
      <c r="A20">
        <v>19</v>
      </c>
      <c r="B20" t="s">
        <v>182</v>
      </c>
      <c r="C20" t="s">
        <v>103</v>
      </c>
      <c r="D20">
        <v>9</v>
      </c>
      <c r="E20">
        <v>120</v>
      </c>
      <c r="F20">
        <v>20</v>
      </c>
      <c r="G20">
        <v>8</v>
      </c>
      <c r="H20">
        <v>27.5</v>
      </c>
      <c r="I20">
        <v>7.5</v>
      </c>
      <c r="J20">
        <v>310</v>
      </c>
      <c r="K20" t="s">
        <v>73</v>
      </c>
    </row>
    <row r="21" spans="1:11" x14ac:dyDescent="0.2">
      <c r="A21">
        <v>20</v>
      </c>
      <c r="B21" t="s">
        <v>183</v>
      </c>
      <c r="C21" t="s">
        <v>114</v>
      </c>
      <c r="D21">
        <v>8</v>
      </c>
      <c r="E21">
        <v>115</v>
      </c>
      <c r="F21">
        <v>19.170000000000002</v>
      </c>
      <c r="G21">
        <v>7</v>
      </c>
      <c r="H21">
        <v>28.71</v>
      </c>
      <c r="I21">
        <v>7.4</v>
      </c>
      <c r="J21">
        <v>305</v>
      </c>
      <c r="K21" t="s">
        <v>151</v>
      </c>
    </row>
    <row r="22" spans="1:11" x14ac:dyDescent="0.2">
      <c r="A22">
        <v>21</v>
      </c>
      <c r="B22" t="s">
        <v>184</v>
      </c>
      <c r="C22" t="s">
        <v>121</v>
      </c>
      <c r="D22">
        <v>8</v>
      </c>
      <c r="E22">
        <v>140</v>
      </c>
      <c r="F22">
        <v>23.33</v>
      </c>
      <c r="G22">
        <v>8</v>
      </c>
      <c r="H22">
        <v>29.25</v>
      </c>
      <c r="I22">
        <v>7.9</v>
      </c>
      <c r="J22">
        <v>300</v>
      </c>
      <c r="K22" t="s">
        <v>84</v>
      </c>
    </row>
    <row r="23" spans="1:11" x14ac:dyDescent="0.2">
      <c r="A23">
        <v>22</v>
      </c>
      <c r="B23" t="s">
        <v>185</v>
      </c>
      <c r="C23" t="s">
        <v>109</v>
      </c>
      <c r="D23">
        <v>10</v>
      </c>
      <c r="E23">
        <v>110</v>
      </c>
      <c r="F23">
        <v>18.329999999999998</v>
      </c>
      <c r="G23">
        <v>7</v>
      </c>
      <c r="H23">
        <v>31.43</v>
      </c>
      <c r="I23">
        <v>7.6</v>
      </c>
      <c r="J23">
        <v>290</v>
      </c>
      <c r="K23" t="s">
        <v>84</v>
      </c>
    </row>
    <row r="24" spans="1:11" x14ac:dyDescent="0.2">
      <c r="A24">
        <v>23</v>
      </c>
      <c r="B24" t="s">
        <v>186</v>
      </c>
      <c r="C24" t="s">
        <v>103</v>
      </c>
      <c r="D24">
        <v>7</v>
      </c>
      <c r="E24">
        <v>105</v>
      </c>
      <c r="F24">
        <v>17.5</v>
      </c>
      <c r="G24">
        <v>6</v>
      </c>
      <c r="H24">
        <v>33.67</v>
      </c>
      <c r="I24">
        <v>7.5</v>
      </c>
      <c r="J24">
        <v>280</v>
      </c>
      <c r="K24" t="s">
        <v>84</v>
      </c>
    </row>
    <row r="25" spans="1:11" x14ac:dyDescent="0.2">
      <c r="A25">
        <v>24</v>
      </c>
      <c r="B25" t="s">
        <v>187</v>
      </c>
      <c r="C25" t="s">
        <v>114</v>
      </c>
      <c r="D25">
        <v>6</v>
      </c>
      <c r="E25">
        <v>100</v>
      </c>
      <c r="F25">
        <v>25</v>
      </c>
      <c r="G25">
        <v>6</v>
      </c>
      <c r="H25">
        <v>28.33</v>
      </c>
      <c r="I25">
        <v>7.4</v>
      </c>
      <c r="J25">
        <v>270</v>
      </c>
      <c r="K25" t="s">
        <v>76</v>
      </c>
    </row>
    <row r="26" spans="1:11" x14ac:dyDescent="0.2">
      <c r="A26">
        <v>25</v>
      </c>
      <c r="B26" t="s">
        <v>188</v>
      </c>
      <c r="C26" t="s">
        <v>121</v>
      </c>
      <c r="D26">
        <v>8</v>
      </c>
      <c r="E26">
        <v>90</v>
      </c>
      <c r="F26">
        <v>22.5</v>
      </c>
      <c r="G26">
        <v>5</v>
      </c>
      <c r="H26">
        <v>36</v>
      </c>
      <c r="I26">
        <v>7.2</v>
      </c>
      <c r="J26">
        <v>260</v>
      </c>
      <c r="K26" t="s">
        <v>84</v>
      </c>
    </row>
    <row r="27" spans="1:11" x14ac:dyDescent="0.2">
      <c r="A27">
        <v>26</v>
      </c>
      <c r="B27" t="s">
        <v>189</v>
      </c>
      <c r="C27" t="s">
        <v>121</v>
      </c>
      <c r="D27">
        <v>9</v>
      </c>
      <c r="E27">
        <v>80</v>
      </c>
      <c r="F27">
        <v>20</v>
      </c>
      <c r="G27">
        <v>5</v>
      </c>
      <c r="H27">
        <v>37.200000000000003</v>
      </c>
      <c r="I27">
        <v>7.5</v>
      </c>
      <c r="J27">
        <v>250</v>
      </c>
      <c r="K27" t="s">
        <v>84</v>
      </c>
    </row>
    <row r="28" spans="1:11" x14ac:dyDescent="0.2">
      <c r="A28">
        <v>27</v>
      </c>
      <c r="B28" t="s">
        <v>190</v>
      </c>
      <c r="C28" t="s">
        <v>107</v>
      </c>
      <c r="D28">
        <v>8</v>
      </c>
      <c r="E28">
        <v>75</v>
      </c>
      <c r="F28">
        <v>18.75</v>
      </c>
      <c r="G28">
        <v>5</v>
      </c>
      <c r="H28">
        <v>37.799999999999997</v>
      </c>
      <c r="I28">
        <v>7.7</v>
      </c>
      <c r="J28">
        <v>240</v>
      </c>
      <c r="K28" t="s">
        <v>84</v>
      </c>
    </row>
    <row r="29" spans="1:11" x14ac:dyDescent="0.2">
      <c r="A29">
        <v>28</v>
      </c>
      <c r="B29" t="s">
        <v>191</v>
      </c>
      <c r="C29" t="s">
        <v>114</v>
      </c>
      <c r="D29">
        <v>7</v>
      </c>
      <c r="E29">
        <v>70</v>
      </c>
      <c r="F29">
        <v>17.5</v>
      </c>
      <c r="G29">
        <v>5</v>
      </c>
      <c r="H29">
        <v>39</v>
      </c>
      <c r="I29">
        <v>7.3</v>
      </c>
      <c r="J29">
        <v>230</v>
      </c>
      <c r="K29" t="s">
        <v>72</v>
      </c>
    </row>
    <row r="30" spans="1:11" x14ac:dyDescent="0.2">
      <c r="A30">
        <v>29</v>
      </c>
      <c r="B30" t="s">
        <v>192</v>
      </c>
      <c r="C30" t="s">
        <v>105</v>
      </c>
      <c r="D30">
        <v>6</v>
      </c>
      <c r="E30">
        <v>65</v>
      </c>
      <c r="F30">
        <v>16.25</v>
      </c>
      <c r="G30">
        <v>4</v>
      </c>
      <c r="H30">
        <v>40.75</v>
      </c>
      <c r="I30">
        <v>7.4</v>
      </c>
      <c r="J30">
        <v>220</v>
      </c>
      <c r="K30" t="s">
        <v>73</v>
      </c>
    </row>
    <row r="31" spans="1:11" x14ac:dyDescent="0.2">
      <c r="A31">
        <v>30</v>
      </c>
      <c r="B31" t="s">
        <v>193</v>
      </c>
      <c r="C31" t="s">
        <v>105</v>
      </c>
      <c r="D31">
        <v>5</v>
      </c>
      <c r="E31">
        <v>60</v>
      </c>
      <c r="F31">
        <v>20</v>
      </c>
      <c r="G31">
        <v>4</v>
      </c>
      <c r="H31">
        <v>41.25</v>
      </c>
      <c r="I31">
        <v>7.1</v>
      </c>
      <c r="J31">
        <v>210</v>
      </c>
      <c r="K31" t="s">
        <v>73</v>
      </c>
    </row>
    <row r="32" spans="1:11" x14ac:dyDescent="0.2">
      <c r="A32">
        <v>31</v>
      </c>
      <c r="B32" t="s">
        <v>194</v>
      </c>
      <c r="C32" t="s">
        <v>109</v>
      </c>
      <c r="D32">
        <v>5</v>
      </c>
      <c r="E32">
        <v>55</v>
      </c>
      <c r="F32">
        <v>18.329999999999998</v>
      </c>
      <c r="G32">
        <v>4</v>
      </c>
      <c r="H32">
        <v>41.75</v>
      </c>
      <c r="I32">
        <v>7.5</v>
      </c>
      <c r="J32">
        <v>200</v>
      </c>
      <c r="K32" t="s">
        <v>73</v>
      </c>
    </row>
    <row r="33" spans="1:11" x14ac:dyDescent="0.2">
      <c r="A33">
        <v>32</v>
      </c>
      <c r="B33" t="s">
        <v>195</v>
      </c>
      <c r="C33" t="s">
        <v>105</v>
      </c>
      <c r="D33">
        <v>4</v>
      </c>
      <c r="E33">
        <v>50</v>
      </c>
      <c r="F33">
        <v>16.670000000000002</v>
      </c>
      <c r="G33">
        <v>4</v>
      </c>
      <c r="H33">
        <v>42.25</v>
      </c>
      <c r="I33">
        <v>7.2</v>
      </c>
      <c r="J33">
        <v>195</v>
      </c>
      <c r="K33" t="s">
        <v>151</v>
      </c>
    </row>
    <row r="34" spans="1:11" x14ac:dyDescent="0.2">
      <c r="A34">
        <v>33</v>
      </c>
      <c r="B34" t="s">
        <v>196</v>
      </c>
      <c r="C34" t="s">
        <v>103</v>
      </c>
      <c r="D34">
        <v>5</v>
      </c>
      <c r="E34">
        <v>45</v>
      </c>
      <c r="F34">
        <v>15</v>
      </c>
      <c r="G34">
        <v>4</v>
      </c>
      <c r="H34">
        <v>42.5</v>
      </c>
      <c r="I34">
        <v>7.4</v>
      </c>
      <c r="J34">
        <v>190</v>
      </c>
      <c r="K34" t="s">
        <v>76</v>
      </c>
    </row>
    <row r="35" spans="1:11" x14ac:dyDescent="0.2">
      <c r="A35">
        <v>34</v>
      </c>
      <c r="B35" t="s">
        <v>197</v>
      </c>
      <c r="C35" t="s">
        <v>105</v>
      </c>
      <c r="D35">
        <v>4</v>
      </c>
      <c r="E35">
        <v>30</v>
      </c>
      <c r="F35">
        <v>10</v>
      </c>
      <c r="G35">
        <v>3</v>
      </c>
      <c r="H35">
        <v>41</v>
      </c>
      <c r="I35">
        <v>7.4</v>
      </c>
      <c r="J35">
        <v>175</v>
      </c>
      <c r="K35" t="s">
        <v>73</v>
      </c>
    </row>
    <row r="36" spans="1:11" x14ac:dyDescent="0.2">
      <c r="A36">
        <v>35</v>
      </c>
      <c r="B36" t="s">
        <v>198</v>
      </c>
      <c r="C36" t="s">
        <v>114</v>
      </c>
      <c r="D36">
        <v>6</v>
      </c>
      <c r="E36">
        <v>25</v>
      </c>
      <c r="F36">
        <v>8.33</v>
      </c>
      <c r="G36">
        <v>3</v>
      </c>
      <c r="H36">
        <v>42.67</v>
      </c>
      <c r="I36">
        <v>7.5</v>
      </c>
      <c r="J36">
        <v>170</v>
      </c>
      <c r="K36" t="s">
        <v>84</v>
      </c>
    </row>
    <row r="37" spans="1:11" x14ac:dyDescent="0.2">
      <c r="A37">
        <v>36</v>
      </c>
      <c r="B37" t="s">
        <v>199</v>
      </c>
      <c r="C37" t="s">
        <v>114</v>
      </c>
      <c r="D37">
        <v>5</v>
      </c>
      <c r="E37">
        <v>20</v>
      </c>
      <c r="F37">
        <v>6.67</v>
      </c>
      <c r="G37">
        <v>2</v>
      </c>
      <c r="H37">
        <v>44.5</v>
      </c>
      <c r="I37">
        <v>7.6</v>
      </c>
      <c r="J37">
        <v>165</v>
      </c>
      <c r="K37" t="s">
        <v>73</v>
      </c>
    </row>
    <row r="38" spans="1:11" x14ac:dyDescent="0.2">
      <c r="A38">
        <v>37</v>
      </c>
      <c r="B38" t="s">
        <v>64</v>
      </c>
      <c r="C38" t="s">
        <v>107</v>
      </c>
      <c r="D38">
        <v>6</v>
      </c>
      <c r="E38">
        <v>15</v>
      </c>
      <c r="F38">
        <v>7.5</v>
      </c>
      <c r="G38">
        <v>2</v>
      </c>
      <c r="H38">
        <v>45</v>
      </c>
      <c r="I38">
        <v>7.8</v>
      </c>
      <c r="J38">
        <v>160</v>
      </c>
      <c r="K38" t="s">
        <v>89</v>
      </c>
    </row>
    <row r="39" spans="1:11" x14ac:dyDescent="0.2">
      <c r="A39">
        <v>38</v>
      </c>
      <c r="B39" t="s">
        <v>200</v>
      </c>
      <c r="C39" t="s">
        <v>105</v>
      </c>
      <c r="D39">
        <v>4</v>
      </c>
      <c r="E39">
        <v>10</v>
      </c>
      <c r="F39">
        <v>5</v>
      </c>
      <c r="G39">
        <v>2</v>
      </c>
      <c r="H39">
        <v>46</v>
      </c>
      <c r="I39">
        <v>7.3</v>
      </c>
      <c r="J39">
        <v>155</v>
      </c>
      <c r="K39" t="s">
        <v>76</v>
      </c>
    </row>
    <row r="40" spans="1:11" x14ac:dyDescent="0.2">
      <c r="A40">
        <v>39</v>
      </c>
      <c r="B40" t="s">
        <v>181</v>
      </c>
      <c r="C40" t="s">
        <v>109</v>
      </c>
      <c r="D40">
        <v>3</v>
      </c>
      <c r="E40">
        <v>5</v>
      </c>
      <c r="F40">
        <v>5</v>
      </c>
      <c r="G40">
        <v>2</v>
      </c>
      <c r="H40">
        <v>37.5</v>
      </c>
      <c r="I40">
        <v>7.5</v>
      </c>
      <c r="J40">
        <v>150</v>
      </c>
      <c r="K40" t="s">
        <v>91</v>
      </c>
    </row>
    <row r="41" spans="1:11" x14ac:dyDescent="0.2">
      <c r="A41">
        <v>40</v>
      </c>
      <c r="B41" t="s">
        <v>201</v>
      </c>
      <c r="C41" t="s">
        <v>109</v>
      </c>
      <c r="D41">
        <v>3</v>
      </c>
      <c r="E41">
        <v>5</v>
      </c>
      <c r="F41">
        <v>2.5</v>
      </c>
      <c r="G41">
        <v>2</v>
      </c>
      <c r="H41">
        <v>38</v>
      </c>
      <c r="I41">
        <v>7.6</v>
      </c>
      <c r="J41">
        <v>145</v>
      </c>
      <c r="K41" t="s">
        <v>202</v>
      </c>
    </row>
    <row r="42" spans="1:11" x14ac:dyDescent="0.2">
      <c r="A42">
        <v>41</v>
      </c>
      <c r="B42" t="s">
        <v>199</v>
      </c>
      <c r="C42" t="s">
        <v>114</v>
      </c>
      <c r="D42">
        <v>3</v>
      </c>
      <c r="E42">
        <v>4</v>
      </c>
      <c r="F42">
        <v>1.33</v>
      </c>
      <c r="G42">
        <v>2</v>
      </c>
      <c r="H42">
        <v>39</v>
      </c>
      <c r="I42">
        <v>7.8</v>
      </c>
      <c r="J42">
        <v>140</v>
      </c>
      <c r="K42" t="s">
        <v>73</v>
      </c>
    </row>
    <row r="43" spans="1:11" x14ac:dyDescent="0.2">
      <c r="A43">
        <v>42</v>
      </c>
      <c r="B43" t="s">
        <v>197</v>
      </c>
      <c r="C43" t="s">
        <v>105</v>
      </c>
      <c r="D43">
        <v>3</v>
      </c>
      <c r="E43">
        <v>3</v>
      </c>
      <c r="F43">
        <v>1</v>
      </c>
      <c r="G43">
        <v>1</v>
      </c>
      <c r="H43">
        <v>42</v>
      </c>
      <c r="I43">
        <v>8</v>
      </c>
      <c r="J43">
        <v>135</v>
      </c>
      <c r="K43" t="s">
        <v>73</v>
      </c>
    </row>
    <row r="44" spans="1:11" x14ac:dyDescent="0.2">
      <c r="A44">
        <v>43</v>
      </c>
      <c r="B44" t="s">
        <v>185</v>
      </c>
      <c r="C44" t="s">
        <v>109</v>
      </c>
      <c r="D44">
        <v>2</v>
      </c>
      <c r="E44">
        <v>2</v>
      </c>
      <c r="F44">
        <v>1</v>
      </c>
      <c r="G44">
        <v>1</v>
      </c>
      <c r="H44">
        <v>44</v>
      </c>
      <c r="I44">
        <v>7.5</v>
      </c>
      <c r="J44">
        <v>130</v>
      </c>
      <c r="K44" t="s">
        <v>84</v>
      </c>
    </row>
    <row r="45" spans="1:11" x14ac:dyDescent="0.2">
      <c r="A45">
        <v>44</v>
      </c>
      <c r="B45" t="s">
        <v>189</v>
      </c>
      <c r="C45" t="s">
        <v>121</v>
      </c>
      <c r="D45">
        <v>3</v>
      </c>
      <c r="E45">
        <v>5</v>
      </c>
      <c r="F45">
        <v>2.5</v>
      </c>
      <c r="G45">
        <v>1</v>
      </c>
      <c r="H45">
        <v>43</v>
      </c>
      <c r="I45">
        <v>7.8</v>
      </c>
      <c r="J45">
        <v>125</v>
      </c>
      <c r="K45" t="s">
        <v>84</v>
      </c>
    </row>
    <row r="46" spans="1:11" x14ac:dyDescent="0.2">
      <c r="A46">
        <v>45</v>
      </c>
      <c r="B46" t="s">
        <v>192</v>
      </c>
      <c r="C46" t="s">
        <v>105</v>
      </c>
      <c r="D46">
        <v>2</v>
      </c>
      <c r="E46">
        <v>3</v>
      </c>
      <c r="F46">
        <v>1.5</v>
      </c>
      <c r="G46">
        <v>1</v>
      </c>
      <c r="H46">
        <v>45.5</v>
      </c>
      <c r="I46">
        <v>7.7</v>
      </c>
      <c r="J46">
        <v>120</v>
      </c>
      <c r="K46" t="s">
        <v>73</v>
      </c>
    </row>
    <row r="47" spans="1:11" x14ac:dyDescent="0.2">
      <c r="A47">
        <v>46</v>
      </c>
      <c r="B47" t="s">
        <v>194</v>
      </c>
      <c r="C47" t="s">
        <v>109</v>
      </c>
      <c r="D47">
        <v>2</v>
      </c>
      <c r="E47">
        <v>5</v>
      </c>
      <c r="F47">
        <v>2.5</v>
      </c>
      <c r="G47">
        <v>1</v>
      </c>
      <c r="H47">
        <v>47</v>
      </c>
      <c r="I47">
        <v>8</v>
      </c>
      <c r="J47">
        <v>115</v>
      </c>
      <c r="K47" t="s">
        <v>73</v>
      </c>
    </row>
  </sheetData>
  <autoFilter ref="A1:K47" xr:uid="{18AE0971-FBCD-A442-B809-14C537EDFCC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FB26-39FE-2A4F-B24C-874B85FBCBDF}">
  <dimension ref="A1:N59"/>
  <sheetViews>
    <sheetView topLeftCell="B1" workbookViewId="0">
      <selection activeCell="M20" sqref="M20"/>
    </sheetView>
  </sheetViews>
  <sheetFormatPr baseColWidth="10" defaultRowHeight="16" x14ac:dyDescent="0.2"/>
  <cols>
    <col min="1" max="1" width="19.1640625" bestFit="1" customWidth="1"/>
    <col min="2" max="2" width="29.83203125" bestFit="1" customWidth="1"/>
    <col min="4" max="4" width="25.83203125" bestFit="1" customWidth="1"/>
    <col min="5" max="5" width="16.83203125" bestFit="1" customWidth="1"/>
    <col min="6" max="6" width="12.1640625" bestFit="1" customWidth="1"/>
    <col min="7" max="7" width="15.6640625" bestFit="1" customWidth="1"/>
    <col min="8" max="8" width="13.6640625" bestFit="1" customWidth="1"/>
    <col min="13" max="13" width="17.33203125" bestFit="1" customWidth="1"/>
    <col min="14" max="14" width="11.6640625" bestFit="1" customWidth="1"/>
  </cols>
  <sheetData>
    <row r="1" spans="1:14" x14ac:dyDescent="0.2">
      <c r="A1" t="s">
        <v>8</v>
      </c>
      <c r="B1" t="s">
        <v>209</v>
      </c>
      <c r="C1" s="2" t="s">
        <v>203</v>
      </c>
      <c r="D1" t="s">
        <v>212</v>
      </c>
      <c r="E1" t="s">
        <v>205</v>
      </c>
      <c r="F1" t="s">
        <v>9</v>
      </c>
      <c r="G1" t="s">
        <v>204</v>
      </c>
      <c r="H1" t="s">
        <v>5</v>
      </c>
    </row>
    <row r="2" spans="1:14" x14ac:dyDescent="0.2">
      <c r="A2" t="s">
        <v>17</v>
      </c>
      <c r="B2" t="s">
        <v>210</v>
      </c>
      <c r="C2" s="2">
        <v>1</v>
      </c>
      <c r="D2">
        <f>IF(B2="International",1,0)</f>
        <v>1</v>
      </c>
      <c r="E2">
        <v>2</v>
      </c>
      <c r="F2">
        <f>C2*E2</f>
        <v>2</v>
      </c>
      <c r="G2">
        <v>234.04</v>
      </c>
      <c r="H2">
        <v>41.25</v>
      </c>
      <c r="L2" s="4" t="s">
        <v>217</v>
      </c>
      <c r="M2" s="4" t="s">
        <v>218</v>
      </c>
      <c r="N2" s="4" t="s">
        <v>209</v>
      </c>
    </row>
    <row r="3" spans="1:14" x14ac:dyDescent="0.2">
      <c r="A3" t="s">
        <v>19</v>
      </c>
      <c r="B3" t="s">
        <v>211</v>
      </c>
      <c r="C3" s="2">
        <v>1</v>
      </c>
      <c r="D3">
        <f t="shared" ref="D3:D46" si="0">IF(B3="International",1,0)</f>
        <v>0</v>
      </c>
      <c r="E3">
        <v>0.5</v>
      </c>
      <c r="F3">
        <f t="shared" ref="F3:F46" si="1">C3*E3</f>
        <v>0.5</v>
      </c>
      <c r="G3">
        <v>159.51</v>
      </c>
      <c r="H3">
        <v>32.700000000000003</v>
      </c>
      <c r="L3" s="4">
        <v>1</v>
      </c>
      <c r="M3" s="4" t="s">
        <v>17</v>
      </c>
      <c r="N3" s="4" t="s">
        <v>210</v>
      </c>
    </row>
    <row r="4" spans="1:14" x14ac:dyDescent="0.2">
      <c r="A4" t="s">
        <v>21</v>
      </c>
      <c r="B4" t="s">
        <v>211</v>
      </c>
      <c r="C4" s="2">
        <v>0</v>
      </c>
      <c r="D4">
        <f t="shared" si="0"/>
        <v>0</v>
      </c>
      <c r="E4">
        <v>15.25</v>
      </c>
      <c r="F4">
        <f t="shared" si="1"/>
        <v>0</v>
      </c>
      <c r="G4">
        <v>148.84</v>
      </c>
      <c r="H4">
        <v>32</v>
      </c>
      <c r="L4" s="4">
        <v>2</v>
      </c>
      <c r="M4" s="4" t="s">
        <v>19</v>
      </c>
      <c r="N4" s="4" t="s">
        <v>211</v>
      </c>
    </row>
    <row r="5" spans="1:14" x14ac:dyDescent="0.2">
      <c r="A5" t="s">
        <v>23</v>
      </c>
      <c r="B5" t="s">
        <v>210</v>
      </c>
      <c r="C5" s="2">
        <v>0</v>
      </c>
      <c r="D5">
        <f t="shared" si="0"/>
        <v>1</v>
      </c>
      <c r="E5">
        <v>5</v>
      </c>
      <c r="F5">
        <f t="shared" si="1"/>
        <v>0</v>
      </c>
      <c r="G5">
        <v>142.6</v>
      </c>
      <c r="H5">
        <v>29.82</v>
      </c>
      <c r="L5" s="4">
        <v>3</v>
      </c>
      <c r="M5" s="4" t="s">
        <v>25</v>
      </c>
      <c r="N5" s="4" t="s">
        <v>211</v>
      </c>
    </row>
    <row r="6" spans="1:14" x14ac:dyDescent="0.2">
      <c r="A6" t="s">
        <v>25</v>
      </c>
      <c r="B6" t="s">
        <v>211</v>
      </c>
      <c r="C6" s="2">
        <v>1</v>
      </c>
      <c r="D6">
        <f t="shared" si="0"/>
        <v>0</v>
      </c>
      <c r="E6">
        <v>1</v>
      </c>
      <c r="F6">
        <f t="shared" si="1"/>
        <v>1</v>
      </c>
      <c r="G6">
        <v>142.91999999999999</v>
      </c>
      <c r="H6">
        <v>27.55</v>
      </c>
      <c r="L6" s="4">
        <v>4</v>
      </c>
      <c r="M6" s="4" t="s">
        <v>39</v>
      </c>
      <c r="N6" s="4" t="s">
        <v>210</v>
      </c>
    </row>
    <row r="7" spans="1:14" x14ac:dyDescent="0.2">
      <c r="A7" t="s">
        <v>27</v>
      </c>
      <c r="B7" t="s">
        <v>210</v>
      </c>
      <c r="C7" s="2">
        <v>0</v>
      </c>
      <c r="D7">
        <f t="shared" si="0"/>
        <v>1</v>
      </c>
      <c r="E7">
        <v>6.75</v>
      </c>
      <c r="F7">
        <f t="shared" si="1"/>
        <v>0</v>
      </c>
      <c r="G7">
        <v>152.82</v>
      </c>
      <c r="H7">
        <v>33.11</v>
      </c>
      <c r="L7" s="4">
        <v>5</v>
      </c>
      <c r="M7" s="4" t="s">
        <v>56</v>
      </c>
      <c r="N7" s="4" t="s">
        <v>211</v>
      </c>
    </row>
    <row r="8" spans="1:14" x14ac:dyDescent="0.2">
      <c r="A8" t="s">
        <v>29</v>
      </c>
      <c r="B8" t="s">
        <v>210</v>
      </c>
      <c r="C8" s="2">
        <v>0</v>
      </c>
      <c r="D8">
        <f t="shared" si="0"/>
        <v>1</v>
      </c>
      <c r="E8">
        <v>18.5</v>
      </c>
      <c r="F8">
        <f t="shared" si="1"/>
        <v>0</v>
      </c>
      <c r="G8">
        <v>123.29</v>
      </c>
      <c r="H8">
        <v>24.55</v>
      </c>
      <c r="L8" s="4">
        <v>6</v>
      </c>
      <c r="M8" s="4" t="s">
        <v>59</v>
      </c>
      <c r="N8" s="4" t="s">
        <v>211</v>
      </c>
    </row>
    <row r="9" spans="1:14" x14ac:dyDescent="0.2">
      <c r="A9" t="s">
        <v>30</v>
      </c>
      <c r="B9" t="s">
        <v>211</v>
      </c>
      <c r="C9" s="2">
        <v>0</v>
      </c>
      <c r="D9">
        <f t="shared" si="0"/>
        <v>0</v>
      </c>
      <c r="E9">
        <v>16</v>
      </c>
      <c r="F9">
        <f t="shared" si="1"/>
        <v>0</v>
      </c>
      <c r="G9">
        <v>142.78</v>
      </c>
      <c r="H9">
        <v>26.7</v>
      </c>
    </row>
    <row r="10" spans="1:14" x14ac:dyDescent="0.2">
      <c r="A10" t="s">
        <v>31</v>
      </c>
      <c r="B10" t="s">
        <v>210</v>
      </c>
      <c r="C10" s="2">
        <v>0</v>
      </c>
      <c r="D10">
        <f t="shared" si="0"/>
        <v>1</v>
      </c>
      <c r="E10">
        <v>17.5</v>
      </c>
      <c r="F10">
        <f t="shared" si="1"/>
        <v>0</v>
      </c>
      <c r="G10">
        <v>143.26</v>
      </c>
      <c r="H10">
        <v>23.18</v>
      </c>
    </row>
    <row r="11" spans="1:14" x14ac:dyDescent="0.2">
      <c r="A11" t="s">
        <v>32</v>
      </c>
      <c r="B11" t="s">
        <v>210</v>
      </c>
      <c r="C11" s="2">
        <v>0</v>
      </c>
      <c r="D11">
        <f t="shared" si="0"/>
        <v>1</v>
      </c>
      <c r="E11">
        <v>7</v>
      </c>
      <c r="F11">
        <f t="shared" si="1"/>
        <v>0</v>
      </c>
      <c r="G11">
        <v>134.41</v>
      </c>
      <c r="H11">
        <v>25</v>
      </c>
    </row>
    <row r="12" spans="1:14" x14ac:dyDescent="0.2">
      <c r="A12" t="s">
        <v>34</v>
      </c>
      <c r="B12" t="s">
        <v>211</v>
      </c>
      <c r="C12" s="2">
        <v>0</v>
      </c>
      <c r="D12">
        <f t="shared" si="0"/>
        <v>0</v>
      </c>
      <c r="E12">
        <v>1</v>
      </c>
      <c r="F12">
        <f t="shared" si="1"/>
        <v>0</v>
      </c>
      <c r="G12">
        <v>123.47</v>
      </c>
      <c r="H12">
        <v>24.2</v>
      </c>
    </row>
    <row r="13" spans="1:14" x14ac:dyDescent="0.2">
      <c r="A13" t="s">
        <v>35</v>
      </c>
      <c r="B13" t="s">
        <v>210</v>
      </c>
      <c r="C13" s="2">
        <v>0</v>
      </c>
      <c r="D13">
        <f t="shared" si="0"/>
        <v>1</v>
      </c>
      <c r="E13">
        <v>8.25</v>
      </c>
      <c r="F13">
        <f t="shared" si="1"/>
        <v>0</v>
      </c>
      <c r="G13">
        <v>158.55000000000001</v>
      </c>
      <c r="H13">
        <v>21.91</v>
      </c>
    </row>
    <row r="14" spans="1:14" x14ac:dyDescent="0.2">
      <c r="A14" t="s">
        <v>36</v>
      </c>
      <c r="B14" t="s">
        <v>211</v>
      </c>
      <c r="C14" s="2">
        <v>0</v>
      </c>
      <c r="D14">
        <f t="shared" si="0"/>
        <v>0</v>
      </c>
      <c r="E14">
        <v>9</v>
      </c>
      <c r="F14">
        <f t="shared" si="1"/>
        <v>0</v>
      </c>
      <c r="G14">
        <v>131.28</v>
      </c>
      <c r="H14">
        <v>23.5</v>
      </c>
    </row>
    <row r="15" spans="1:14" x14ac:dyDescent="0.2">
      <c r="A15" t="s">
        <v>37</v>
      </c>
      <c r="B15" t="s">
        <v>211</v>
      </c>
      <c r="C15" s="2">
        <v>0</v>
      </c>
      <c r="D15">
        <f t="shared" si="0"/>
        <v>0</v>
      </c>
      <c r="E15">
        <v>0.2</v>
      </c>
      <c r="F15">
        <f t="shared" si="1"/>
        <v>0</v>
      </c>
      <c r="G15">
        <v>137.43</v>
      </c>
      <c r="H15">
        <v>21.36</v>
      </c>
    </row>
    <row r="16" spans="1:14" x14ac:dyDescent="0.2">
      <c r="A16" t="s">
        <v>38</v>
      </c>
      <c r="B16" t="s">
        <v>210</v>
      </c>
      <c r="C16" s="2">
        <v>0</v>
      </c>
      <c r="D16">
        <f t="shared" si="0"/>
        <v>1</v>
      </c>
      <c r="E16">
        <v>3.2</v>
      </c>
      <c r="F16">
        <f t="shared" si="1"/>
        <v>0</v>
      </c>
      <c r="G16">
        <v>175.57</v>
      </c>
      <c r="H16">
        <v>28.75</v>
      </c>
    </row>
    <row r="17" spans="1:8" x14ac:dyDescent="0.2">
      <c r="A17" t="s">
        <v>39</v>
      </c>
      <c r="B17" t="s">
        <v>210</v>
      </c>
      <c r="C17" s="2">
        <v>1</v>
      </c>
      <c r="D17">
        <f t="shared" si="0"/>
        <v>1</v>
      </c>
      <c r="E17">
        <v>2</v>
      </c>
      <c r="F17">
        <f t="shared" si="1"/>
        <v>2</v>
      </c>
      <c r="G17">
        <v>160.87</v>
      </c>
      <c r="H17">
        <v>22.2</v>
      </c>
    </row>
    <row r="18" spans="1:8" x14ac:dyDescent="0.2">
      <c r="A18" t="s">
        <v>40</v>
      </c>
      <c r="B18" t="s">
        <v>210</v>
      </c>
      <c r="C18" s="2">
        <v>0</v>
      </c>
      <c r="D18">
        <f t="shared" si="0"/>
        <v>1</v>
      </c>
      <c r="E18">
        <v>2.6</v>
      </c>
      <c r="F18">
        <f t="shared" si="1"/>
        <v>0</v>
      </c>
      <c r="G18">
        <v>124.29</v>
      </c>
      <c r="H18">
        <v>20</v>
      </c>
    </row>
    <row r="19" spans="1:8" x14ac:dyDescent="0.2">
      <c r="A19" t="s">
        <v>41</v>
      </c>
      <c r="B19" t="s">
        <v>211</v>
      </c>
      <c r="C19" s="2">
        <v>0</v>
      </c>
      <c r="D19">
        <f t="shared" si="0"/>
        <v>0</v>
      </c>
      <c r="E19">
        <v>15</v>
      </c>
      <c r="F19">
        <f t="shared" si="1"/>
        <v>0</v>
      </c>
      <c r="G19">
        <v>143.05000000000001</v>
      </c>
      <c r="H19">
        <v>21.6</v>
      </c>
    </row>
    <row r="20" spans="1:8" x14ac:dyDescent="0.2">
      <c r="A20" t="s">
        <v>42</v>
      </c>
      <c r="B20" t="s">
        <v>211</v>
      </c>
      <c r="C20" s="2">
        <v>0</v>
      </c>
      <c r="D20">
        <f t="shared" si="0"/>
        <v>0</v>
      </c>
      <c r="E20">
        <v>3</v>
      </c>
      <c r="F20">
        <f t="shared" si="1"/>
        <v>0</v>
      </c>
      <c r="G20">
        <v>129.52000000000001</v>
      </c>
      <c r="H20">
        <v>17.920000000000002</v>
      </c>
    </row>
    <row r="21" spans="1:8" x14ac:dyDescent="0.2">
      <c r="A21" t="s">
        <v>43</v>
      </c>
      <c r="B21" t="s">
        <v>210</v>
      </c>
      <c r="C21" s="2">
        <v>0</v>
      </c>
      <c r="D21">
        <f t="shared" si="0"/>
        <v>1</v>
      </c>
      <c r="E21">
        <v>4</v>
      </c>
      <c r="F21">
        <f t="shared" si="1"/>
        <v>0</v>
      </c>
      <c r="G21">
        <v>181.9</v>
      </c>
      <c r="H21">
        <v>26.38</v>
      </c>
    </row>
    <row r="22" spans="1:8" x14ac:dyDescent="0.2">
      <c r="A22" t="s">
        <v>44</v>
      </c>
      <c r="B22" t="s">
        <v>210</v>
      </c>
      <c r="C22" s="2">
        <v>0</v>
      </c>
      <c r="D22">
        <f t="shared" si="0"/>
        <v>1</v>
      </c>
      <c r="E22">
        <v>3</v>
      </c>
      <c r="F22">
        <f t="shared" si="1"/>
        <v>0</v>
      </c>
      <c r="G22">
        <v>151.08000000000001</v>
      </c>
      <c r="H22">
        <v>23.33</v>
      </c>
    </row>
    <row r="23" spans="1:8" x14ac:dyDescent="0.2">
      <c r="A23" t="s">
        <v>46</v>
      </c>
      <c r="B23" t="s">
        <v>211</v>
      </c>
      <c r="C23" s="2">
        <v>0</v>
      </c>
      <c r="D23">
        <f t="shared" si="0"/>
        <v>0</v>
      </c>
      <c r="E23">
        <v>7.5</v>
      </c>
      <c r="F23">
        <f t="shared" si="1"/>
        <v>0</v>
      </c>
      <c r="G23">
        <v>163.63999999999999</v>
      </c>
      <c r="H23">
        <v>24.75</v>
      </c>
    </row>
    <row r="24" spans="1:8" x14ac:dyDescent="0.2">
      <c r="A24" t="s">
        <v>47</v>
      </c>
      <c r="B24" t="s">
        <v>211</v>
      </c>
      <c r="C24" s="2">
        <v>0</v>
      </c>
      <c r="D24">
        <f t="shared" si="0"/>
        <v>0</v>
      </c>
      <c r="E24">
        <v>1</v>
      </c>
      <c r="F24">
        <f t="shared" si="1"/>
        <v>0</v>
      </c>
      <c r="G24">
        <v>138.30000000000001</v>
      </c>
      <c r="H24">
        <v>19.5</v>
      </c>
    </row>
    <row r="25" spans="1:8" x14ac:dyDescent="0.2">
      <c r="A25" t="s">
        <v>49</v>
      </c>
      <c r="B25" t="s">
        <v>211</v>
      </c>
      <c r="C25" s="2">
        <v>0</v>
      </c>
      <c r="D25">
        <f t="shared" si="0"/>
        <v>0</v>
      </c>
      <c r="E25">
        <v>0.2</v>
      </c>
      <c r="F25">
        <f t="shared" si="1"/>
        <v>0</v>
      </c>
      <c r="G25">
        <v>167.26</v>
      </c>
      <c r="H25">
        <v>18.899999999999999</v>
      </c>
    </row>
    <row r="26" spans="1:8" x14ac:dyDescent="0.2">
      <c r="A26" t="s">
        <v>50</v>
      </c>
      <c r="B26" t="s">
        <v>211</v>
      </c>
      <c r="C26" s="2">
        <v>0</v>
      </c>
      <c r="D26">
        <f t="shared" si="0"/>
        <v>0</v>
      </c>
      <c r="E26">
        <v>9</v>
      </c>
      <c r="F26">
        <f t="shared" si="1"/>
        <v>0</v>
      </c>
      <c r="G26">
        <v>145.74</v>
      </c>
      <c r="H26">
        <v>18.8</v>
      </c>
    </row>
    <row r="27" spans="1:8" x14ac:dyDescent="0.2">
      <c r="A27" t="s">
        <v>51</v>
      </c>
      <c r="B27" t="s">
        <v>211</v>
      </c>
      <c r="C27" s="2">
        <v>0</v>
      </c>
      <c r="D27">
        <f t="shared" si="0"/>
        <v>0</v>
      </c>
      <c r="E27">
        <v>0.2</v>
      </c>
      <c r="F27">
        <f t="shared" si="1"/>
        <v>0</v>
      </c>
      <c r="G27">
        <v>131.69</v>
      </c>
      <c r="H27">
        <v>18.7</v>
      </c>
    </row>
    <row r="28" spans="1:8" x14ac:dyDescent="0.2">
      <c r="A28" t="s">
        <v>52</v>
      </c>
      <c r="B28" t="s">
        <v>210</v>
      </c>
      <c r="C28" s="2">
        <v>0</v>
      </c>
      <c r="D28">
        <f t="shared" si="0"/>
        <v>1</v>
      </c>
      <c r="E28">
        <v>0.75</v>
      </c>
      <c r="F28">
        <f t="shared" si="1"/>
        <v>0</v>
      </c>
      <c r="G28">
        <v>150</v>
      </c>
      <c r="H28">
        <v>20.329999999999998</v>
      </c>
    </row>
    <row r="29" spans="1:8" x14ac:dyDescent="0.2">
      <c r="A29" t="s">
        <v>53</v>
      </c>
      <c r="B29" t="s">
        <v>211</v>
      </c>
      <c r="C29" s="2">
        <v>0</v>
      </c>
      <c r="D29">
        <f t="shared" si="0"/>
        <v>0</v>
      </c>
      <c r="E29">
        <v>4</v>
      </c>
      <c r="F29">
        <f t="shared" si="1"/>
        <v>0</v>
      </c>
      <c r="G29">
        <v>168.52</v>
      </c>
      <c r="H29">
        <v>16.54</v>
      </c>
    </row>
    <row r="30" spans="1:8" x14ac:dyDescent="0.2">
      <c r="A30" t="s">
        <v>54</v>
      </c>
      <c r="B30" t="s">
        <v>210</v>
      </c>
      <c r="C30" s="2">
        <v>0</v>
      </c>
      <c r="D30">
        <f t="shared" si="0"/>
        <v>1</v>
      </c>
      <c r="E30">
        <v>6.25</v>
      </c>
      <c r="F30">
        <f t="shared" si="1"/>
        <v>0</v>
      </c>
      <c r="G30">
        <v>134.4</v>
      </c>
      <c r="H30">
        <v>21</v>
      </c>
    </row>
    <row r="31" spans="1:8" x14ac:dyDescent="0.2">
      <c r="A31" t="s">
        <v>55</v>
      </c>
      <c r="B31" t="s">
        <v>211</v>
      </c>
      <c r="C31" s="2">
        <v>0</v>
      </c>
      <c r="D31">
        <f t="shared" si="0"/>
        <v>0</v>
      </c>
      <c r="E31">
        <v>3.4</v>
      </c>
      <c r="F31">
        <f t="shared" si="1"/>
        <v>0</v>
      </c>
      <c r="G31">
        <v>143.47999999999999</v>
      </c>
      <c r="H31">
        <v>27.5</v>
      </c>
    </row>
    <row r="32" spans="1:8" x14ac:dyDescent="0.2">
      <c r="A32" t="s">
        <v>56</v>
      </c>
      <c r="B32" t="s">
        <v>211</v>
      </c>
      <c r="C32" s="2">
        <v>1</v>
      </c>
      <c r="D32">
        <f t="shared" si="0"/>
        <v>0</v>
      </c>
      <c r="E32">
        <v>12</v>
      </c>
      <c r="F32">
        <f t="shared" si="1"/>
        <v>12</v>
      </c>
      <c r="G32">
        <v>220.55</v>
      </c>
      <c r="H32">
        <v>40.25</v>
      </c>
    </row>
    <row r="33" spans="1:8" x14ac:dyDescent="0.2">
      <c r="A33" t="s">
        <v>57</v>
      </c>
      <c r="B33" t="s">
        <v>211</v>
      </c>
      <c r="C33" s="2">
        <v>0</v>
      </c>
      <c r="D33">
        <f t="shared" si="0"/>
        <v>0</v>
      </c>
      <c r="E33">
        <v>8.25</v>
      </c>
      <c r="F33">
        <f t="shared" si="1"/>
        <v>0</v>
      </c>
      <c r="G33">
        <v>125.62</v>
      </c>
      <c r="H33">
        <v>30.4</v>
      </c>
    </row>
    <row r="34" spans="1:8" x14ac:dyDescent="0.2">
      <c r="A34" t="s">
        <v>58</v>
      </c>
      <c r="B34" t="s">
        <v>211</v>
      </c>
      <c r="C34" s="2">
        <v>0</v>
      </c>
      <c r="D34">
        <f t="shared" si="0"/>
        <v>0</v>
      </c>
      <c r="E34">
        <v>5.75</v>
      </c>
      <c r="F34">
        <f t="shared" si="1"/>
        <v>0</v>
      </c>
      <c r="G34">
        <v>138.1</v>
      </c>
      <c r="H34">
        <v>18.13</v>
      </c>
    </row>
    <row r="35" spans="1:8" x14ac:dyDescent="0.2">
      <c r="A35" t="s">
        <v>59</v>
      </c>
      <c r="B35" t="s">
        <v>211</v>
      </c>
      <c r="C35" s="2">
        <v>1</v>
      </c>
      <c r="D35">
        <f t="shared" si="0"/>
        <v>0</v>
      </c>
      <c r="E35">
        <v>0.2</v>
      </c>
      <c r="F35">
        <f t="shared" si="1"/>
        <v>0.2</v>
      </c>
      <c r="G35">
        <v>177.22</v>
      </c>
      <c r="H35">
        <v>20</v>
      </c>
    </row>
    <row r="36" spans="1:8" x14ac:dyDescent="0.2">
      <c r="A36" t="s">
        <v>60</v>
      </c>
      <c r="B36" t="s">
        <v>210</v>
      </c>
      <c r="C36" s="2">
        <v>0</v>
      </c>
      <c r="D36">
        <f t="shared" si="0"/>
        <v>1</v>
      </c>
      <c r="E36">
        <v>20.5</v>
      </c>
      <c r="F36">
        <f t="shared" si="1"/>
        <v>0</v>
      </c>
      <c r="G36">
        <v>143.16</v>
      </c>
      <c r="H36">
        <v>13.6</v>
      </c>
    </row>
    <row r="37" spans="1:8" x14ac:dyDescent="0.2">
      <c r="A37" t="s">
        <v>61</v>
      </c>
      <c r="B37" t="s">
        <v>211</v>
      </c>
      <c r="C37" s="2">
        <v>0</v>
      </c>
      <c r="D37">
        <f t="shared" si="0"/>
        <v>0</v>
      </c>
      <c r="E37">
        <v>1.9</v>
      </c>
      <c r="F37">
        <f t="shared" si="1"/>
        <v>0</v>
      </c>
      <c r="G37">
        <v>118.26</v>
      </c>
      <c r="H37">
        <v>15.11</v>
      </c>
    </row>
    <row r="38" spans="1:8" x14ac:dyDescent="0.2">
      <c r="A38" t="s">
        <v>62</v>
      </c>
      <c r="B38" t="s">
        <v>211</v>
      </c>
      <c r="C38" s="2">
        <v>0</v>
      </c>
      <c r="D38">
        <f t="shared" si="0"/>
        <v>0</v>
      </c>
      <c r="E38">
        <v>8.25</v>
      </c>
      <c r="F38">
        <f t="shared" si="1"/>
        <v>0</v>
      </c>
      <c r="G38">
        <v>126.67</v>
      </c>
      <c r="H38">
        <v>19</v>
      </c>
    </row>
    <row r="39" spans="1:8" x14ac:dyDescent="0.2">
      <c r="A39" t="s">
        <v>63</v>
      </c>
      <c r="B39" t="s">
        <v>210</v>
      </c>
      <c r="C39" s="2">
        <v>0</v>
      </c>
      <c r="D39">
        <f t="shared" si="0"/>
        <v>1</v>
      </c>
      <c r="E39">
        <v>8</v>
      </c>
      <c r="F39">
        <f t="shared" si="1"/>
        <v>0</v>
      </c>
      <c r="G39">
        <v>130.61000000000001</v>
      </c>
      <c r="H39">
        <v>16</v>
      </c>
    </row>
    <row r="40" spans="1:8" x14ac:dyDescent="0.2">
      <c r="A40" t="s">
        <v>64</v>
      </c>
      <c r="B40" t="s">
        <v>211</v>
      </c>
      <c r="C40" s="2">
        <v>0</v>
      </c>
      <c r="D40">
        <f t="shared" si="0"/>
        <v>0</v>
      </c>
      <c r="E40">
        <v>4</v>
      </c>
      <c r="F40">
        <f t="shared" si="1"/>
        <v>0</v>
      </c>
      <c r="G40">
        <v>169.33</v>
      </c>
      <c r="H40">
        <v>18.14</v>
      </c>
    </row>
    <row r="41" spans="1:8" x14ac:dyDescent="0.2">
      <c r="A41" t="s">
        <v>65</v>
      </c>
      <c r="B41" t="s">
        <v>211</v>
      </c>
      <c r="C41" s="2">
        <v>0</v>
      </c>
      <c r="D41">
        <f t="shared" si="0"/>
        <v>0</v>
      </c>
      <c r="E41">
        <v>0.2</v>
      </c>
      <c r="F41">
        <f t="shared" si="1"/>
        <v>0</v>
      </c>
      <c r="G41">
        <v>183.82</v>
      </c>
      <c r="H41">
        <v>15.63</v>
      </c>
    </row>
    <row r="42" spans="1:8" x14ac:dyDescent="0.2">
      <c r="A42" t="s">
        <v>66</v>
      </c>
      <c r="B42" t="s">
        <v>210</v>
      </c>
      <c r="C42" s="2">
        <v>0</v>
      </c>
      <c r="D42">
        <f t="shared" si="0"/>
        <v>1</v>
      </c>
      <c r="E42">
        <v>7.75</v>
      </c>
      <c r="F42">
        <f t="shared" si="1"/>
        <v>0</v>
      </c>
      <c r="G42">
        <v>178.26</v>
      </c>
      <c r="H42">
        <v>20.67</v>
      </c>
    </row>
    <row r="43" spans="1:8" x14ac:dyDescent="0.2">
      <c r="A43" t="s">
        <v>67</v>
      </c>
      <c r="B43" t="s">
        <v>210</v>
      </c>
      <c r="C43" s="2">
        <v>0</v>
      </c>
      <c r="D43">
        <f t="shared" si="0"/>
        <v>1</v>
      </c>
      <c r="E43">
        <v>3</v>
      </c>
      <c r="F43">
        <f t="shared" si="1"/>
        <v>0</v>
      </c>
      <c r="G43">
        <v>142.86000000000001</v>
      </c>
      <c r="H43">
        <v>20</v>
      </c>
    </row>
    <row r="44" spans="1:8" x14ac:dyDescent="0.2">
      <c r="A44" t="s">
        <v>68</v>
      </c>
      <c r="B44" t="s">
        <v>211</v>
      </c>
      <c r="C44" s="2">
        <v>0</v>
      </c>
      <c r="D44">
        <f t="shared" si="0"/>
        <v>0</v>
      </c>
      <c r="E44">
        <v>0.4</v>
      </c>
      <c r="F44">
        <f t="shared" si="1"/>
        <v>0</v>
      </c>
      <c r="G44">
        <v>137.65</v>
      </c>
      <c r="H44">
        <v>23.6</v>
      </c>
    </row>
    <row r="45" spans="1:8" x14ac:dyDescent="0.2">
      <c r="A45" t="s">
        <v>69</v>
      </c>
      <c r="B45" t="s">
        <v>211</v>
      </c>
      <c r="C45" s="2">
        <v>0</v>
      </c>
      <c r="D45">
        <f t="shared" si="0"/>
        <v>0</v>
      </c>
      <c r="E45">
        <v>0.3</v>
      </c>
      <c r="F45">
        <f t="shared" si="1"/>
        <v>0</v>
      </c>
      <c r="G45">
        <v>138.55000000000001</v>
      </c>
      <c r="H45">
        <v>16.43</v>
      </c>
    </row>
    <row r="46" spans="1:8" x14ac:dyDescent="0.2">
      <c r="A46" t="s">
        <v>70</v>
      </c>
      <c r="B46" t="s">
        <v>211</v>
      </c>
      <c r="C46" s="2">
        <v>0</v>
      </c>
      <c r="D46">
        <f t="shared" si="0"/>
        <v>0</v>
      </c>
      <c r="E46">
        <v>8</v>
      </c>
      <c r="F46">
        <f t="shared" si="1"/>
        <v>0</v>
      </c>
      <c r="G46">
        <v>128.72999999999999</v>
      </c>
      <c r="H46">
        <v>14.25</v>
      </c>
    </row>
    <row r="48" spans="1:8" x14ac:dyDescent="0.2">
      <c r="B48" t="s">
        <v>206</v>
      </c>
      <c r="C48" s="5">
        <f>SUM(C2:C46)</f>
        <v>6</v>
      </c>
    </row>
    <row r="50" spans="2:4" x14ac:dyDescent="0.2">
      <c r="B50" t="s">
        <v>207</v>
      </c>
      <c r="C50">
        <v>4</v>
      </c>
    </row>
    <row r="51" spans="2:4" x14ac:dyDescent="0.2">
      <c r="B51" t="s">
        <v>208</v>
      </c>
      <c r="C51">
        <v>6</v>
      </c>
    </row>
    <row r="53" spans="2:4" x14ac:dyDescent="0.2">
      <c r="B53" t="s">
        <v>221</v>
      </c>
      <c r="C53" s="5">
        <f>SUMPRODUCT(C2:C46,D2:D46)</f>
        <v>2</v>
      </c>
    </row>
    <row r="56" spans="2:4" x14ac:dyDescent="0.2">
      <c r="B56" t="s">
        <v>214</v>
      </c>
      <c r="C56" s="5">
        <f>SUM(F2:F46)</f>
        <v>17.7</v>
      </c>
      <c r="D56" t="s">
        <v>216</v>
      </c>
    </row>
    <row r="57" spans="2:4" x14ac:dyDescent="0.2">
      <c r="B57" t="s">
        <v>215</v>
      </c>
      <c r="C57">
        <v>18</v>
      </c>
      <c r="D57" t="s">
        <v>216</v>
      </c>
    </row>
    <row r="59" spans="2:4" x14ac:dyDescent="0.2">
      <c r="B59" s="3" t="s">
        <v>213</v>
      </c>
      <c r="C59" s="3">
        <f>SUMPRODUCT(C2:C46,G2:G46,H2:H46)</f>
        <v>34800.424500000001</v>
      </c>
    </row>
  </sheetData>
  <autoFilter ref="A1:G46" xr:uid="{F8E4FB26-39FE-2A4F-B24C-874B85FBCBD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E80B-33B9-C742-A177-F94B11BC7E3D}">
  <dimension ref="A1:N58"/>
  <sheetViews>
    <sheetView workbookViewId="0">
      <selection activeCell="K21" sqref="K21"/>
    </sheetView>
  </sheetViews>
  <sheetFormatPr baseColWidth="10" defaultRowHeight="16" x14ac:dyDescent="0.2"/>
  <cols>
    <col min="1" max="1" width="21" bestFit="1" customWidth="1"/>
    <col min="2" max="2" width="30" bestFit="1" customWidth="1"/>
    <col min="4" max="4" width="18" bestFit="1" customWidth="1"/>
    <col min="5" max="5" width="14.33203125" bestFit="1" customWidth="1"/>
    <col min="6" max="6" width="12.1640625" bestFit="1" customWidth="1"/>
    <col min="7" max="7" width="15.6640625" bestFit="1" customWidth="1"/>
    <col min="8" max="8" width="13.6640625" bestFit="1" customWidth="1"/>
    <col min="11" max="11" width="14.33203125" customWidth="1"/>
    <col min="12" max="12" width="9.33203125" customWidth="1"/>
    <col min="13" max="13" width="15.6640625" bestFit="1" customWidth="1"/>
    <col min="14" max="14" width="10.1640625" bestFit="1" customWidth="1"/>
  </cols>
  <sheetData>
    <row r="1" spans="1:14" x14ac:dyDescent="0.2">
      <c r="A1" t="s">
        <v>8</v>
      </c>
      <c r="B1" t="s">
        <v>209</v>
      </c>
      <c r="C1" s="2" t="s">
        <v>203</v>
      </c>
      <c r="D1" t="s">
        <v>212</v>
      </c>
      <c r="E1" t="s">
        <v>205</v>
      </c>
      <c r="F1" t="s">
        <v>9</v>
      </c>
      <c r="G1" t="s">
        <v>219</v>
      </c>
      <c r="H1" t="s">
        <v>4</v>
      </c>
    </row>
    <row r="2" spans="1:14" x14ac:dyDescent="0.2">
      <c r="A2" t="s">
        <v>60</v>
      </c>
      <c r="B2" t="s">
        <v>210</v>
      </c>
      <c r="C2" s="2">
        <v>0</v>
      </c>
      <c r="D2">
        <f>IF(B2="International",1,0)</f>
        <v>1</v>
      </c>
      <c r="E2">
        <v>20.5</v>
      </c>
      <c r="F2">
        <f>C2*E2</f>
        <v>0</v>
      </c>
      <c r="G2">
        <v>15.3</v>
      </c>
      <c r="H2">
        <v>7.8</v>
      </c>
      <c r="L2" s="4" t="s">
        <v>217</v>
      </c>
      <c r="M2" s="4" t="s">
        <v>218</v>
      </c>
      <c r="N2" s="4" t="s">
        <v>209</v>
      </c>
    </row>
    <row r="3" spans="1:14" x14ac:dyDescent="0.2">
      <c r="A3" t="s">
        <v>104</v>
      </c>
      <c r="B3" t="s">
        <v>211</v>
      </c>
      <c r="C3" s="2">
        <v>1</v>
      </c>
      <c r="D3">
        <f t="shared" ref="D3:D45" si="0">IF(B3="International",1,0)</f>
        <v>0</v>
      </c>
      <c r="E3">
        <v>7.5</v>
      </c>
      <c r="F3">
        <f t="shared" ref="F3:F45" si="1">C3*E3</f>
        <v>7.5</v>
      </c>
      <c r="G3">
        <v>17.5</v>
      </c>
      <c r="H3">
        <v>6.8</v>
      </c>
      <c r="L3" s="4">
        <v>1</v>
      </c>
      <c r="M3" s="4" t="s">
        <v>104</v>
      </c>
      <c r="N3" s="4" t="s">
        <v>211</v>
      </c>
    </row>
    <row r="4" spans="1:14" x14ac:dyDescent="0.2">
      <c r="A4" t="s">
        <v>106</v>
      </c>
      <c r="B4" t="s">
        <v>210</v>
      </c>
      <c r="C4" s="2">
        <v>0</v>
      </c>
      <c r="D4">
        <f t="shared" si="0"/>
        <v>1</v>
      </c>
      <c r="E4">
        <v>15</v>
      </c>
      <c r="F4">
        <f t="shared" si="1"/>
        <v>0</v>
      </c>
      <c r="G4">
        <v>16.100000000000001</v>
      </c>
      <c r="H4">
        <v>7</v>
      </c>
      <c r="L4" s="4">
        <v>2</v>
      </c>
      <c r="M4" s="4" t="s">
        <v>112</v>
      </c>
      <c r="N4" s="4" t="s">
        <v>211</v>
      </c>
    </row>
    <row r="5" spans="1:14" x14ac:dyDescent="0.2">
      <c r="A5" t="s">
        <v>108</v>
      </c>
      <c r="B5" t="s">
        <v>211</v>
      </c>
      <c r="C5" s="2">
        <v>0</v>
      </c>
      <c r="D5">
        <f t="shared" si="0"/>
        <v>0</v>
      </c>
      <c r="E5">
        <v>11.75</v>
      </c>
      <c r="F5">
        <f t="shared" si="1"/>
        <v>0</v>
      </c>
      <c r="G5">
        <v>18</v>
      </c>
      <c r="H5">
        <v>7.3</v>
      </c>
      <c r="L5" s="4">
        <v>3</v>
      </c>
      <c r="M5" s="4" t="s">
        <v>3</v>
      </c>
      <c r="N5" s="4" t="s">
        <v>211</v>
      </c>
    </row>
    <row r="6" spans="1:14" x14ac:dyDescent="0.2">
      <c r="A6" t="s">
        <v>111</v>
      </c>
      <c r="B6" t="s">
        <v>211</v>
      </c>
      <c r="C6" s="2">
        <v>0</v>
      </c>
      <c r="D6">
        <f t="shared" si="0"/>
        <v>0</v>
      </c>
      <c r="E6">
        <v>11.75</v>
      </c>
      <c r="F6">
        <f t="shared" si="1"/>
        <v>0</v>
      </c>
      <c r="G6">
        <v>18.5</v>
      </c>
      <c r="H6">
        <v>8</v>
      </c>
      <c r="L6" s="4">
        <v>4</v>
      </c>
      <c r="M6" s="4" t="s">
        <v>124</v>
      </c>
      <c r="N6" s="4" t="s">
        <v>211</v>
      </c>
    </row>
    <row r="7" spans="1:14" x14ac:dyDescent="0.2">
      <c r="A7" t="s">
        <v>112</v>
      </c>
      <c r="B7" t="s">
        <v>211</v>
      </c>
      <c r="C7" s="2">
        <v>1</v>
      </c>
      <c r="D7">
        <f t="shared" si="0"/>
        <v>0</v>
      </c>
      <c r="E7">
        <v>7</v>
      </c>
      <c r="F7">
        <f t="shared" si="1"/>
        <v>7</v>
      </c>
      <c r="G7">
        <v>19</v>
      </c>
      <c r="H7">
        <v>7.6</v>
      </c>
      <c r="L7" s="4">
        <v>5</v>
      </c>
      <c r="M7" s="4" t="s">
        <v>137</v>
      </c>
      <c r="N7" s="4" t="s">
        <v>211</v>
      </c>
    </row>
    <row r="8" spans="1:14" x14ac:dyDescent="0.2">
      <c r="A8" t="s">
        <v>3</v>
      </c>
      <c r="B8" t="s">
        <v>211</v>
      </c>
      <c r="C8" s="2">
        <v>1</v>
      </c>
      <c r="D8">
        <f t="shared" si="0"/>
        <v>0</v>
      </c>
      <c r="E8">
        <v>0.5</v>
      </c>
      <c r="F8">
        <f t="shared" si="1"/>
        <v>0.5</v>
      </c>
      <c r="G8">
        <v>18.899999999999999</v>
      </c>
      <c r="H8">
        <v>7.7</v>
      </c>
    </row>
    <row r="9" spans="1:14" x14ac:dyDescent="0.2">
      <c r="A9" t="s">
        <v>115</v>
      </c>
      <c r="B9" t="s">
        <v>210</v>
      </c>
      <c r="C9" s="2">
        <v>0</v>
      </c>
      <c r="D9">
        <f t="shared" si="0"/>
        <v>1</v>
      </c>
      <c r="E9">
        <v>8</v>
      </c>
      <c r="F9">
        <f t="shared" si="1"/>
        <v>0</v>
      </c>
      <c r="G9">
        <v>20</v>
      </c>
      <c r="H9">
        <v>7.4</v>
      </c>
    </row>
    <row r="10" spans="1:14" x14ac:dyDescent="0.2">
      <c r="A10" t="s">
        <v>116</v>
      </c>
      <c r="B10" t="s">
        <v>211</v>
      </c>
      <c r="C10" s="2">
        <v>0</v>
      </c>
      <c r="D10">
        <f t="shared" si="0"/>
        <v>0</v>
      </c>
      <c r="E10">
        <v>6</v>
      </c>
      <c r="F10">
        <f t="shared" si="1"/>
        <v>0</v>
      </c>
      <c r="G10">
        <v>21.2</v>
      </c>
      <c r="H10">
        <v>7.2</v>
      </c>
    </row>
    <row r="11" spans="1:14" x14ac:dyDescent="0.2">
      <c r="A11" t="s">
        <v>118</v>
      </c>
      <c r="B11" t="s">
        <v>210</v>
      </c>
      <c r="C11" s="2">
        <v>0</v>
      </c>
      <c r="D11">
        <f t="shared" si="0"/>
        <v>1</v>
      </c>
      <c r="E11">
        <v>9.25</v>
      </c>
      <c r="F11">
        <f t="shared" si="1"/>
        <v>0</v>
      </c>
      <c r="G11">
        <v>22</v>
      </c>
      <c r="H11">
        <v>8.1999999999999993</v>
      </c>
    </row>
    <row r="12" spans="1:14" x14ac:dyDescent="0.2">
      <c r="A12" t="s">
        <v>120</v>
      </c>
      <c r="B12" t="s">
        <v>211</v>
      </c>
      <c r="C12" s="2">
        <v>0</v>
      </c>
      <c r="D12">
        <f t="shared" si="0"/>
        <v>0</v>
      </c>
      <c r="E12">
        <v>12</v>
      </c>
      <c r="F12">
        <f t="shared" si="1"/>
        <v>0</v>
      </c>
      <c r="G12">
        <v>18.5</v>
      </c>
      <c r="H12">
        <v>7.1</v>
      </c>
    </row>
    <row r="13" spans="1:14" x14ac:dyDescent="0.2">
      <c r="A13" t="s">
        <v>122</v>
      </c>
      <c r="B13" t="s">
        <v>211</v>
      </c>
      <c r="C13" s="2">
        <v>0</v>
      </c>
      <c r="D13">
        <f t="shared" si="0"/>
        <v>0</v>
      </c>
      <c r="E13">
        <v>0.2</v>
      </c>
      <c r="F13">
        <f t="shared" si="1"/>
        <v>0</v>
      </c>
      <c r="G13">
        <v>23.4</v>
      </c>
      <c r="H13">
        <v>7.9</v>
      </c>
    </row>
    <row r="14" spans="1:14" x14ac:dyDescent="0.2">
      <c r="A14" t="s">
        <v>123</v>
      </c>
      <c r="B14" t="s">
        <v>211</v>
      </c>
      <c r="C14" s="2">
        <v>0</v>
      </c>
      <c r="D14">
        <f t="shared" si="0"/>
        <v>0</v>
      </c>
      <c r="E14">
        <v>6.25</v>
      </c>
      <c r="F14">
        <f t="shared" si="1"/>
        <v>0</v>
      </c>
      <c r="G14">
        <v>21.3</v>
      </c>
      <c r="H14">
        <v>7.4</v>
      </c>
    </row>
    <row r="15" spans="1:14" x14ac:dyDescent="0.2">
      <c r="A15" t="s">
        <v>124</v>
      </c>
      <c r="B15" t="s">
        <v>211</v>
      </c>
      <c r="C15" s="2">
        <v>1</v>
      </c>
      <c r="D15">
        <f t="shared" si="0"/>
        <v>0</v>
      </c>
      <c r="E15">
        <v>4</v>
      </c>
      <c r="F15">
        <f t="shared" si="1"/>
        <v>4</v>
      </c>
      <c r="G15">
        <v>22.8</v>
      </c>
      <c r="H15">
        <v>7.5</v>
      </c>
    </row>
    <row r="16" spans="1:14" x14ac:dyDescent="0.2">
      <c r="A16" t="s">
        <v>125</v>
      </c>
      <c r="B16" t="s">
        <v>211</v>
      </c>
      <c r="C16" s="2">
        <v>0</v>
      </c>
      <c r="D16">
        <f t="shared" si="0"/>
        <v>0</v>
      </c>
      <c r="E16">
        <v>6.4</v>
      </c>
      <c r="F16">
        <f t="shared" si="1"/>
        <v>0</v>
      </c>
      <c r="G16">
        <v>24</v>
      </c>
      <c r="H16">
        <v>7.7</v>
      </c>
    </row>
    <row r="17" spans="1:8" x14ac:dyDescent="0.2">
      <c r="A17" t="s">
        <v>127</v>
      </c>
      <c r="B17" t="s">
        <v>211</v>
      </c>
      <c r="C17" s="2">
        <v>0</v>
      </c>
      <c r="D17">
        <f t="shared" si="0"/>
        <v>0</v>
      </c>
      <c r="E17">
        <v>6</v>
      </c>
      <c r="F17">
        <f t="shared" si="1"/>
        <v>0</v>
      </c>
      <c r="G17">
        <v>22.5</v>
      </c>
      <c r="H17">
        <v>7.2</v>
      </c>
    </row>
    <row r="18" spans="1:8" x14ac:dyDescent="0.2">
      <c r="A18" t="s">
        <v>128</v>
      </c>
      <c r="B18" t="s">
        <v>211</v>
      </c>
      <c r="C18" s="2">
        <v>0</v>
      </c>
      <c r="D18">
        <f t="shared" si="0"/>
        <v>0</v>
      </c>
      <c r="E18">
        <v>10</v>
      </c>
      <c r="F18">
        <f t="shared" si="1"/>
        <v>0</v>
      </c>
      <c r="G18">
        <v>22</v>
      </c>
      <c r="H18">
        <v>7.8</v>
      </c>
    </row>
    <row r="19" spans="1:8" x14ac:dyDescent="0.2">
      <c r="A19" t="s">
        <v>131</v>
      </c>
      <c r="B19" t="s">
        <v>211</v>
      </c>
      <c r="C19" s="2">
        <v>0</v>
      </c>
      <c r="D19">
        <f t="shared" si="0"/>
        <v>0</v>
      </c>
      <c r="E19">
        <v>0.2</v>
      </c>
      <c r="F19">
        <f t="shared" si="1"/>
        <v>0</v>
      </c>
      <c r="G19">
        <v>23.6</v>
      </c>
      <c r="H19">
        <v>8.1</v>
      </c>
    </row>
    <row r="20" spans="1:8" x14ac:dyDescent="0.2">
      <c r="A20" t="s">
        <v>132</v>
      </c>
      <c r="B20" t="s">
        <v>211</v>
      </c>
      <c r="C20" s="2">
        <v>0</v>
      </c>
      <c r="D20">
        <f t="shared" si="0"/>
        <v>0</v>
      </c>
      <c r="E20">
        <v>5</v>
      </c>
      <c r="F20">
        <f t="shared" si="1"/>
        <v>0</v>
      </c>
      <c r="G20">
        <v>25.2</v>
      </c>
      <c r="H20">
        <v>6.9</v>
      </c>
    </row>
    <row r="21" spans="1:8" x14ac:dyDescent="0.2">
      <c r="A21" t="s">
        <v>133</v>
      </c>
      <c r="B21" t="s">
        <v>211</v>
      </c>
      <c r="C21" s="2">
        <v>0</v>
      </c>
      <c r="D21">
        <f t="shared" si="0"/>
        <v>0</v>
      </c>
      <c r="E21">
        <v>10.75</v>
      </c>
      <c r="F21">
        <f t="shared" si="1"/>
        <v>0</v>
      </c>
      <c r="G21">
        <v>24.5</v>
      </c>
      <c r="H21">
        <v>8.4</v>
      </c>
    </row>
    <row r="22" spans="1:8" x14ac:dyDescent="0.2">
      <c r="A22" t="s">
        <v>135</v>
      </c>
      <c r="B22" t="s">
        <v>210</v>
      </c>
      <c r="C22" s="2">
        <v>0</v>
      </c>
      <c r="D22">
        <f t="shared" si="0"/>
        <v>1</v>
      </c>
      <c r="E22">
        <v>4.2</v>
      </c>
      <c r="F22">
        <f t="shared" si="1"/>
        <v>0</v>
      </c>
      <c r="G22">
        <v>26.1</v>
      </c>
      <c r="H22">
        <v>7.9</v>
      </c>
    </row>
    <row r="23" spans="1:8" x14ac:dyDescent="0.2">
      <c r="A23" t="s">
        <v>137</v>
      </c>
      <c r="B23" t="s">
        <v>211</v>
      </c>
      <c r="C23" s="2">
        <v>1</v>
      </c>
      <c r="D23">
        <f t="shared" si="0"/>
        <v>0</v>
      </c>
      <c r="E23">
        <v>0.5</v>
      </c>
      <c r="F23">
        <f t="shared" si="1"/>
        <v>0.5</v>
      </c>
      <c r="G23">
        <v>23.8</v>
      </c>
      <c r="H23">
        <v>7.5</v>
      </c>
    </row>
    <row r="24" spans="1:8" x14ac:dyDescent="0.2">
      <c r="A24" t="s">
        <v>138</v>
      </c>
      <c r="B24" t="s">
        <v>211</v>
      </c>
      <c r="C24" s="2">
        <v>0</v>
      </c>
      <c r="D24">
        <f t="shared" si="0"/>
        <v>0</v>
      </c>
      <c r="E24">
        <v>5.25</v>
      </c>
      <c r="F24">
        <f t="shared" si="1"/>
        <v>0</v>
      </c>
      <c r="G24">
        <v>25.3</v>
      </c>
      <c r="H24">
        <v>7.6</v>
      </c>
    </row>
    <row r="25" spans="1:8" x14ac:dyDescent="0.2">
      <c r="A25" t="s">
        <v>140</v>
      </c>
      <c r="B25" t="s">
        <v>211</v>
      </c>
      <c r="C25" s="2">
        <v>0</v>
      </c>
      <c r="D25">
        <f t="shared" si="0"/>
        <v>0</v>
      </c>
      <c r="E25">
        <v>0.3</v>
      </c>
      <c r="F25">
        <f t="shared" si="1"/>
        <v>0</v>
      </c>
      <c r="G25">
        <v>26</v>
      </c>
      <c r="H25">
        <v>8.5</v>
      </c>
    </row>
    <row r="26" spans="1:8" x14ac:dyDescent="0.2">
      <c r="A26" t="s">
        <v>142</v>
      </c>
      <c r="B26" t="s">
        <v>210</v>
      </c>
      <c r="C26" s="2">
        <v>0</v>
      </c>
      <c r="D26">
        <f t="shared" si="0"/>
        <v>1</v>
      </c>
      <c r="E26">
        <v>6.5</v>
      </c>
      <c r="F26">
        <f t="shared" si="1"/>
        <v>0</v>
      </c>
      <c r="G26">
        <v>22.9</v>
      </c>
      <c r="H26">
        <v>7</v>
      </c>
    </row>
    <row r="27" spans="1:8" x14ac:dyDescent="0.2">
      <c r="A27" t="s">
        <v>144</v>
      </c>
      <c r="B27" t="s">
        <v>210</v>
      </c>
      <c r="C27" s="2">
        <v>0</v>
      </c>
      <c r="D27">
        <f t="shared" si="0"/>
        <v>1</v>
      </c>
      <c r="E27">
        <v>0.75</v>
      </c>
      <c r="F27">
        <f t="shared" si="1"/>
        <v>0</v>
      </c>
      <c r="G27">
        <v>25.1</v>
      </c>
      <c r="H27">
        <v>7.8</v>
      </c>
    </row>
    <row r="28" spans="1:8" x14ac:dyDescent="0.2">
      <c r="A28" t="s">
        <v>145</v>
      </c>
      <c r="B28" t="s">
        <v>210</v>
      </c>
      <c r="C28" s="2">
        <v>0</v>
      </c>
      <c r="D28">
        <f t="shared" si="0"/>
        <v>1</v>
      </c>
      <c r="E28">
        <v>4.2</v>
      </c>
      <c r="F28">
        <f t="shared" si="1"/>
        <v>0</v>
      </c>
      <c r="G28">
        <v>24.5</v>
      </c>
      <c r="H28">
        <v>7.6</v>
      </c>
    </row>
    <row r="29" spans="1:8" x14ac:dyDescent="0.2">
      <c r="A29" t="s">
        <v>146</v>
      </c>
      <c r="B29" t="s">
        <v>211</v>
      </c>
      <c r="C29" s="2">
        <v>0</v>
      </c>
      <c r="D29">
        <f t="shared" si="0"/>
        <v>0</v>
      </c>
      <c r="E29">
        <v>4</v>
      </c>
      <c r="F29">
        <f t="shared" si="1"/>
        <v>0</v>
      </c>
      <c r="G29">
        <v>23.9</v>
      </c>
      <c r="H29">
        <v>8</v>
      </c>
    </row>
    <row r="30" spans="1:8" x14ac:dyDescent="0.2">
      <c r="A30" t="s">
        <v>147</v>
      </c>
      <c r="B30" t="s">
        <v>211</v>
      </c>
      <c r="C30" s="2">
        <v>0</v>
      </c>
      <c r="D30">
        <f t="shared" si="0"/>
        <v>0</v>
      </c>
      <c r="E30">
        <v>0.2</v>
      </c>
      <c r="F30">
        <f t="shared" si="1"/>
        <v>0</v>
      </c>
      <c r="G30">
        <v>25.8</v>
      </c>
      <c r="H30">
        <v>7.9</v>
      </c>
    </row>
    <row r="31" spans="1:8" x14ac:dyDescent="0.2">
      <c r="A31" t="s">
        <v>148</v>
      </c>
      <c r="B31" t="s">
        <v>211</v>
      </c>
      <c r="C31" s="2">
        <v>0</v>
      </c>
      <c r="D31">
        <f t="shared" si="0"/>
        <v>0</v>
      </c>
      <c r="E31">
        <v>4</v>
      </c>
      <c r="F31">
        <f t="shared" si="1"/>
        <v>0</v>
      </c>
      <c r="G31">
        <v>26.4</v>
      </c>
      <c r="H31">
        <v>8.5</v>
      </c>
    </row>
    <row r="32" spans="1:8" x14ac:dyDescent="0.2">
      <c r="A32" t="s">
        <v>149</v>
      </c>
      <c r="B32" t="s">
        <v>210</v>
      </c>
      <c r="C32" s="2">
        <v>0</v>
      </c>
      <c r="D32">
        <f t="shared" si="0"/>
        <v>1</v>
      </c>
      <c r="E32">
        <v>0.75</v>
      </c>
      <c r="F32">
        <f t="shared" si="1"/>
        <v>0</v>
      </c>
      <c r="G32">
        <v>24.3</v>
      </c>
      <c r="H32">
        <v>7.6</v>
      </c>
    </row>
    <row r="33" spans="1:8" x14ac:dyDescent="0.2">
      <c r="A33" t="s">
        <v>150</v>
      </c>
      <c r="B33" t="s">
        <v>210</v>
      </c>
      <c r="C33" s="2">
        <v>0</v>
      </c>
      <c r="D33">
        <f t="shared" si="0"/>
        <v>1</v>
      </c>
      <c r="E33">
        <v>1.5</v>
      </c>
      <c r="F33">
        <f t="shared" si="1"/>
        <v>0</v>
      </c>
      <c r="G33">
        <v>26.9</v>
      </c>
      <c r="H33">
        <v>7.5</v>
      </c>
    </row>
    <row r="34" spans="1:8" x14ac:dyDescent="0.2">
      <c r="A34" t="s">
        <v>152</v>
      </c>
      <c r="B34" t="s">
        <v>211</v>
      </c>
      <c r="C34" s="2">
        <v>0</v>
      </c>
      <c r="D34">
        <f t="shared" si="0"/>
        <v>0</v>
      </c>
      <c r="E34">
        <v>0.5</v>
      </c>
      <c r="F34">
        <f t="shared" si="1"/>
        <v>0</v>
      </c>
      <c r="G34">
        <v>27.4</v>
      </c>
      <c r="H34">
        <v>7.9</v>
      </c>
    </row>
    <row r="35" spans="1:8" x14ac:dyDescent="0.2">
      <c r="A35" t="s">
        <v>153</v>
      </c>
      <c r="B35" t="s">
        <v>210</v>
      </c>
      <c r="C35" s="2">
        <v>0</v>
      </c>
      <c r="D35">
        <f t="shared" si="0"/>
        <v>1</v>
      </c>
      <c r="E35">
        <v>7.75</v>
      </c>
      <c r="F35">
        <f t="shared" si="1"/>
        <v>0</v>
      </c>
      <c r="G35">
        <v>25.6</v>
      </c>
      <c r="H35">
        <v>7.1</v>
      </c>
    </row>
    <row r="36" spans="1:8" x14ac:dyDescent="0.2">
      <c r="A36" t="s">
        <v>154</v>
      </c>
      <c r="B36" t="s">
        <v>210</v>
      </c>
      <c r="C36" s="2">
        <v>0</v>
      </c>
      <c r="D36">
        <f t="shared" si="0"/>
        <v>1</v>
      </c>
      <c r="E36">
        <v>2.5</v>
      </c>
      <c r="F36">
        <f t="shared" si="1"/>
        <v>0</v>
      </c>
      <c r="G36">
        <v>28.2</v>
      </c>
      <c r="H36">
        <v>7.5</v>
      </c>
    </row>
    <row r="37" spans="1:8" x14ac:dyDescent="0.2">
      <c r="A37" t="s">
        <v>156</v>
      </c>
      <c r="B37" t="s">
        <v>211</v>
      </c>
      <c r="C37" s="2">
        <v>0</v>
      </c>
      <c r="D37">
        <f t="shared" si="0"/>
        <v>0</v>
      </c>
      <c r="E37">
        <v>0.75</v>
      </c>
      <c r="F37">
        <f t="shared" si="1"/>
        <v>0</v>
      </c>
      <c r="G37">
        <v>26.7</v>
      </c>
      <c r="H37">
        <v>7.3</v>
      </c>
    </row>
    <row r="38" spans="1:8" x14ac:dyDescent="0.2">
      <c r="A38" t="s">
        <v>157</v>
      </c>
      <c r="B38" t="s">
        <v>211</v>
      </c>
      <c r="C38" s="2">
        <v>0</v>
      </c>
      <c r="D38">
        <f t="shared" si="0"/>
        <v>0</v>
      </c>
      <c r="E38">
        <v>2</v>
      </c>
      <c r="F38">
        <f t="shared" si="1"/>
        <v>0</v>
      </c>
      <c r="G38">
        <v>28.6</v>
      </c>
      <c r="H38">
        <v>7.6</v>
      </c>
    </row>
    <row r="39" spans="1:8" x14ac:dyDescent="0.2">
      <c r="A39" t="s">
        <v>158</v>
      </c>
      <c r="B39" t="s">
        <v>210</v>
      </c>
      <c r="C39" s="2">
        <v>0</v>
      </c>
      <c r="D39">
        <f t="shared" si="0"/>
        <v>1</v>
      </c>
      <c r="E39">
        <v>2.2000000000000002</v>
      </c>
      <c r="F39">
        <f t="shared" si="1"/>
        <v>0</v>
      </c>
      <c r="G39">
        <v>29.4</v>
      </c>
      <c r="H39">
        <v>7.2</v>
      </c>
    </row>
    <row r="40" spans="1:8" x14ac:dyDescent="0.2">
      <c r="A40" t="s">
        <v>160</v>
      </c>
      <c r="B40" t="s">
        <v>210</v>
      </c>
      <c r="C40" s="2">
        <v>0</v>
      </c>
      <c r="D40">
        <f t="shared" si="0"/>
        <v>1</v>
      </c>
      <c r="E40">
        <v>1</v>
      </c>
      <c r="F40">
        <f t="shared" si="1"/>
        <v>0</v>
      </c>
      <c r="G40">
        <v>24.8</v>
      </c>
      <c r="H40">
        <v>7</v>
      </c>
    </row>
    <row r="41" spans="1:8" x14ac:dyDescent="0.2">
      <c r="A41" t="s">
        <v>161</v>
      </c>
      <c r="B41" t="s">
        <v>211</v>
      </c>
      <c r="C41" s="2">
        <v>0</v>
      </c>
      <c r="D41">
        <f t="shared" si="0"/>
        <v>0</v>
      </c>
      <c r="E41">
        <v>0.2</v>
      </c>
      <c r="F41">
        <f t="shared" si="1"/>
        <v>0</v>
      </c>
      <c r="G41">
        <v>30.5</v>
      </c>
      <c r="H41">
        <v>7.4</v>
      </c>
    </row>
    <row r="42" spans="1:8" x14ac:dyDescent="0.2">
      <c r="A42" t="s">
        <v>162</v>
      </c>
      <c r="B42" t="s">
        <v>210</v>
      </c>
      <c r="C42" s="2">
        <v>0</v>
      </c>
      <c r="D42">
        <f t="shared" si="0"/>
        <v>1</v>
      </c>
      <c r="E42">
        <v>1</v>
      </c>
      <c r="F42">
        <f t="shared" si="1"/>
        <v>0</v>
      </c>
      <c r="G42">
        <v>28.8</v>
      </c>
      <c r="H42">
        <v>7.8</v>
      </c>
    </row>
    <row r="43" spans="1:8" x14ac:dyDescent="0.2">
      <c r="A43" t="s">
        <v>163</v>
      </c>
      <c r="B43" t="s">
        <v>211</v>
      </c>
      <c r="C43" s="2">
        <v>0</v>
      </c>
      <c r="D43">
        <f t="shared" si="0"/>
        <v>0</v>
      </c>
      <c r="E43">
        <v>0.2</v>
      </c>
      <c r="F43">
        <f t="shared" si="1"/>
        <v>0</v>
      </c>
      <c r="G43">
        <v>27.5</v>
      </c>
      <c r="H43">
        <v>8.1999999999999993</v>
      </c>
    </row>
    <row r="44" spans="1:8" x14ac:dyDescent="0.2">
      <c r="A44" t="s">
        <v>164</v>
      </c>
      <c r="B44" t="s">
        <v>211</v>
      </c>
      <c r="C44" s="2">
        <v>0</v>
      </c>
      <c r="D44">
        <f t="shared" si="0"/>
        <v>0</v>
      </c>
      <c r="E44">
        <v>0.2</v>
      </c>
      <c r="F44">
        <f t="shared" si="1"/>
        <v>0</v>
      </c>
      <c r="G44">
        <v>29.1</v>
      </c>
      <c r="H44">
        <v>8.1</v>
      </c>
    </row>
    <row r="45" spans="1:8" x14ac:dyDescent="0.2">
      <c r="A45" t="s">
        <v>165</v>
      </c>
      <c r="B45" t="s">
        <v>211</v>
      </c>
      <c r="C45" s="2">
        <v>0</v>
      </c>
      <c r="D45">
        <f t="shared" si="0"/>
        <v>0</v>
      </c>
      <c r="E45">
        <v>10</v>
      </c>
      <c r="F45">
        <f t="shared" si="1"/>
        <v>0</v>
      </c>
      <c r="G45">
        <v>30</v>
      </c>
      <c r="H45">
        <v>7.6</v>
      </c>
    </row>
    <row r="47" spans="1:8" x14ac:dyDescent="0.2">
      <c r="B47" t="s">
        <v>206</v>
      </c>
      <c r="C47" s="5">
        <f>SUM(C2:C45)</f>
        <v>5</v>
      </c>
    </row>
    <row r="49" spans="2:4" x14ac:dyDescent="0.2">
      <c r="B49" t="s">
        <v>223</v>
      </c>
      <c r="C49">
        <v>5</v>
      </c>
    </row>
    <row r="50" spans="2:4" x14ac:dyDescent="0.2">
      <c r="B50" t="s">
        <v>224</v>
      </c>
      <c r="C50">
        <v>7</v>
      </c>
    </row>
    <row r="52" spans="2:4" x14ac:dyDescent="0.2">
      <c r="B52" t="s">
        <v>220</v>
      </c>
      <c r="C52" s="5">
        <f>SUMPRODUCT(C2:C45,D2:D45)</f>
        <v>0</v>
      </c>
    </row>
    <row r="55" spans="2:4" x14ac:dyDescent="0.2">
      <c r="B55" t="s">
        <v>214</v>
      </c>
      <c r="C55" s="5">
        <f>SUM(F2:F45)</f>
        <v>19.5</v>
      </c>
    </row>
    <row r="56" spans="2:4" x14ac:dyDescent="0.2">
      <c r="B56" t="s">
        <v>215</v>
      </c>
      <c r="C56">
        <v>21</v>
      </c>
      <c r="D56" t="s">
        <v>222</v>
      </c>
    </row>
    <row r="58" spans="2:4" x14ac:dyDescent="0.2">
      <c r="B58" s="3" t="s">
        <v>213</v>
      </c>
      <c r="C58" s="3">
        <f>SUMPRODUCT(C2:C45,G2:G45,H2:H45)</f>
        <v>758.43</v>
      </c>
    </row>
  </sheetData>
  <autoFilter ref="A1:H45" xr:uid="{62AAE80B-33B9-C742-A177-F94B11BC7E3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F95-8F37-114E-818D-52625E769122}">
  <dimension ref="A1:L58"/>
  <sheetViews>
    <sheetView tabSelected="1" topLeftCell="B1" workbookViewId="0">
      <selection activeCell="O23" sqref="O23"/>
    </sheetView>
  </sheetViews>
  <sheetFormatPr baseColWidth="10" defaultRowHeight="16" x14ac:dyDescent="0.2"/>
  <cols>
    <col min="1" max="1" width="17.5" bestFit="1" customWidth="1"/>
    <col min="2" max="2" width="33.1640625" bestFit="1" customWidth="1"/>
    <col min="4" max="4" width="20.5" bestFit="1" customWidth="1"/>
    <col min="5" max="5" width="16.83203125" bestFit="1" customWidth="1"/>
    <col min="6" max="6" width="12.1640625" bestFit="1" customWidth="1"/>
    <col min="7" max="7" width="16.33203125" bestFit="1" customWidth="1"/>
    <col min="11" max="11" width="16" customWidth="1"/>
    <col min="12" max="12" width="12.6640625" customWidth="1"/>
  </cols>
  <sheetData>
    <row r="1" spans="1:12" x14ac:dyDescent="0.2">
      <c r="A1" t="s">
        <v>8</v>
      </c>
      <c r="B1" t="s">
        <v>209</v>
      </c>
      <c r="C1" s="2" t="s">
        <v>203</v>
      </c>
      <c r="D1" t="s">
        <v>212</v>
      </c>
      <c r="E1" t="s">
        <v>205</v>
      </c>
      <c r="F1" t="s">
        <v>9</v>
      </c>
      <c r="G1" t="s">
        <v>7</v>
      </c>
    </row>
    <row r="2" spans="1:12" x14ac:dyDescent="0.2">
      <c r="A2" t="s">
        <v>41</v>
      </c>
      <c r="B2" t="s">
        <v>211</v>
      </c>
      <c r="C2" s="2">
        <v>0</v>
      </c>
      <c r="D2">
        <f>IF(B2="International",1,0)</f>
        <v>0</v>
      </c>
      <c r="E2">
        <v>15</v>
      </c>
      <c r="F2">
        <f>C2*E2</f>
        <v>0</v>
      </c>
      <c r="G2">
        <v>520</v>
      </c>
      <c r="J2" s="4" t="s">
        <v>217</v>
      </c>
      <c r="K2" s="4" t="s">
        <v>218</v>
      </c>
      <c r="L2" s="4" t="s">
        <v>209</v>
      </c>
    </row>
    <row r="3" spans="1:12" x14ac:dyDescent="0.2">
      <c r="A3" t="s">
        <v>166</v>
      </c>
      <c r="B3" t="s">
        <v>210</v>
      </c>
      <c r="C3" s="2">
        <v>0</v>
      </c>
      <c r="D3">
        <f t="shared" ref="D3:D47" si="0">IF(B3="International",1,0)</f>
        <v>1</v>
      </c>
      <c r="E3">
        <v>12.25</v>
      </c>
      <c r="F3">
        <f t="shared" ref="F3:F47" si="1">C3*E3</f>
        <v>0</v>
      </c>
      <c r="G3">
        <v>500</v>
      </c>
      <c r="J3" s="4">
        <v>1</v>
      </c>
      <c r="K3" s="4" t="s">
        <v>23</v>
      </c>
      <c r="L3" s="4" t="s">
        <v>210</v>
      </c>
    </row>
    <row r="4" spans="1:12" x14ac:dyDescent="0.2">
      <c r="A4" t="s">
        <v>168</v>
      </c>
      <c r="B4" t="s">
        <v>210</v>
      </c>
      <c r="C4" s="2">
        <v>0</v>
      </c>
      <c r="D4">
        <f t="shared" si="0"/>
        <v>1</v>
      </c>
      <c r="E4">
        <v>11</v>
      </c>
      <c r="F4">
        <f t="shared" si="1"/>
        <v>0</v>
      </c>
      <c r="G4">
        <v>480</v>
      </c>
      <c r="J4" s="4">
        <v>2</v>
      </c>
      <c r="K4" s="4" t="s">
        <v>172</v>
      </c>
      <c r="L4" s="4" t="s">
        <v>210</v>
      </c>
    </row>
    <row r="5" spans="1:12" x14ac:dyDescent="0.2">
      <c r="A5" t="s">
        <v>170</v>
      </c>
      <c r="B5" t="s">
        <v>210</v>
      </c>
      <c r="C5" s="2">
        <v>0</v>
      </c>
      <c r="D5">
        <f t="shared" si="0"/>
        <v>1</v>
      </c>
      <c r="E5">
        <v>11.5</v>
      </c>
      <c r="F5">
        <f t="shared" si="1"/>
        <v>0</v>
      </c>
      <c r="G5">
        <v>470</v>
      </c>
      <c r="J5" s="4">
        <v>3</v>
      </c>
      <c r="K5" s="4" t="s">
        <v>177</v>
      </c>
      <c r="L5" s="4" t="s">
        <v>211</v>
      </c>
    </row>
    <row r="6" spans="1:12" x14ac:dyDescent="0.2">
      <c r="A6" t="s">
        <v>23</v>
      </c>
      <c r="B6" t="s">
        <v>210</v>
      </c>
      <c r="C6" s="2">
        <v>1</v>
      </c>
      <c r="D6">
        <f t="shared" si="0"/>
        <v>1</v>
      </c>
      <c r="E6">
        <v>5</v>
      </c>
      <c r="F6">
        <f t="shared" si="1"/>
        <v>5</v>
      </c>
      <c r="G6">
        <v>460</v>
      </c>
      <c r="J6" s="4">
        <v>4</v>
      </c>
      <c r="K6" s="4" t="s">
        <v>39</v>
      </c>
      <c r="L6" s="4" t="s">
        <v>210</v>
      </c>
    </row>
    <row r="7" spans="1:12" x14ac:dyDescent="0.2">
      <c r="A7" t="s">
        <v>172</v>
      </c>
      <c r="B7" t="s">
        <v>210</v>
      </c>
      <c r="C7" s="2">
        <v>1</v>
      </c>
      <c r="D7">
        <f t="shared" si="0"/>
        <v>1</v>
      </c>
      <c r="E7">
        <v>6</v>
      </c>
      <c r="F7">
        <f t="shared" si="1"/>
        <v>6</v>
      </c>
      <c r="G7">
        <v>450</v>
      </c>
      <c r="J7" s="4">
        <v>5</v>
      </c>
      <c r="K7" s="4" t="s">
        <v>185</v>
      </c>
      <c r="L7" s="4" t="s">
        <v>211</v>
      </c>
    </row>
    <row r="8" spans="1:12" x14ac:dyDescent="0.2">
      <c r="A8" t="s">
        <v>173</v>
      </c>
      <c r="B8" t="s">
        <v>211</v>
      </c>
      <c r="C8" s="2">
        <v>0</v>
      </c>
      <c r="D8">
        <f t="shared" si="0"/>
        <v>0</v>
      </c>
      <c r="E8">
        <v>8.75</v>
      </c>
      <c r="F8">
        <f t="shared" si="1"/>
        <v>0</v>
      </c>
      <c r="G8">
        <v>430</v>
      </c>
      <c r="J8" s="4">
        <v>6</v>
      </c>
      <c r="K8" s="4" t="s">
        <v>186</v>
      </c>
      <c r="L8" s="4" t="s">
        <v>211</v>
      </c>
    </row>
    <row r="9" spans="1:12" x14ac:dyDescent="0.2">
      <c r="A9" t="s">
        <v>175</v>
      </c>
      <c r="B9" t="s">
        <v>210</v>
      </c>
      <c r="C9" s="2">
        <v>0</v>
      </c>
      <c r="D9">
        <f t="shared" si="0"/>
        <v>1</v>
      </c>
      <c r="E9">
        <v>7.4</v>
      </c>
      <c r="F9">
        <f t="shared" si="1"/>
        <v>0</v>
      </c>
      <c r="G9">
        <v>420</v>
      </c>
    </row>
    <row r="10" spans="1:12" x14ac:dyDescent="0.2">
      <c r="A10" t="s">
        <v>177</v>
      </c>
      <c r="B10" t="s">
        <v>211</v>
      </c>
      <c r="C10" s="2">
        <v>1</v>
      </c>
      <c r="D10">
        <f t="shared" si="0"/>
        <v>0</v>
      </c>
      <c r="E10">
        <v>4</v>
      </c>
      <c r="F10">
        <f t="shared" si="1"/>
        <v>4</v>
      </c>
      <c r="G10">
        <v>410</v>
      </c>
    </row>
    <row r="11" spans="1:12" x14ac:dyDescent="0.2">
      <c r="A11" t="s">
        <v>178</v>
      </c>
      <c r="B11" t="s">
        <v>210</v>
      </c>
      <c r="C11" s="2">
        <v>0</v>
      </c>
      <c r="D11">
        <f t="shared" si="0"/>
        <v>1</v>
      </c>
      <c r="E11">
        <v>10</v>
      </c>
      <c r="F11">
        <f t="shared" si="1"/>
        <v>0</v>
      </c>
      <c r="G11">
        <v>400</v>
      </c>
    </row>
    <row r="12" spans="1:12" x14ac:dyDescent="0.2">
      <c r="A12" t="s">
        <v>145</v>
      </c>
      <c r="B12" t="s">
        <v>210</v>
      </c>
      <c r="C12" s="2">
        <v>0</v>
      </c>
      <c r="D12">
        <f t="shared" si="0"/>
        <v>1</v>
      </c>
      <c r="E12">
        <v>4.2</v>
      </c>
      <c r="F12">
        <f t="shared" si="1"/>
        <v>0</v>
      </c>
      <c r="G12">
        <v>390</v>
      </c>
    </row>
    <row r="13" spans="1:12" x14ac:dyDescent="0.2">
      <c r="A13" t="s">
        <v>60</v>
      </c>
      <c r="B13" t="s">
        <v>210</v>
      </c>
      <c r="C13" s="2">
        <v>0</v>
      </c>
      <c r="D13">
        <f t="shared" si="0"/>
        <v>1</v>
      </c>
      <c r="E13">
        <v>20.5</v>
      </c>
      <c r="F13">
        <f t="shared" si="1"/>
        <v>0</v>
      </c>
      <c r="G13">
        <v>385</v>
      </c>
    </row>
    <row r="14" spans="1:12" x14ac:dyDescent="0.2">
      <c r="A14" t="s">
        <v>179</v>
      </c>
      <c r="B14" t="s">
        <v>210</v>
      </c>
      <c r="C14" s="2">
        <v>0</v>
      </c>
      <c r="D14">
        <f t="shared" si="0"/>
        <v>1</v>
      </c>
      <c r="E14">
        <v>10</v>
      </c>
      <c r="F14">
        <f t="shared" si="1"/>
        <v>0</v>
      </c>
      <c r="G14">
        <v>370</v>
      </c>
    </row>
    <row r="15" spans="1:12" x14ac:dyDescent="0.2">
      <c r="A15" t="s">
        <v>111</v>
      </c>
      <c r="B15" t="s">
        <v>211</v>
      </c>
      <c r="C15" s="2">
        <v>0</v>
      </c>
      <c r="D15">
        <f t="shared" si="0"/>
        <v>0</v>
      </c>
      <c r="E15">
        <v>11.75</v>
      </c>
      <c r="F15">
        <f t="shared" si="1"/>
        <v>0</v>
      </c>
      <c r="G15">
        <v>360</v>
      </c>
    </row>
    <row r="16" spans="1:12" x14ac:dyDescent="0.2">
      <c r="A16" t="s">
        <v>39</v>
      </c>
      <c r="B16" t="s">
        <v>210</v>
      </c>
      <c r="C16" s="2">
        <v>1</v>
      </c>
      <c r="D16">
        <f t="shared" si="0"/>
        <v>1</v>
      </c>
      <c r="E16">
        <v>0.5</v>
      </c>
      <c r="F16">
        <f t="shared" si="1"/>
        <v>0.5</v>
      </c>
      <c r="G16">
        <v>350</v>
      </c>
    </row>
    <row r="17" spans="1:7" x14ac:dyDescent="0.2">
      <c r="A17" t="s">
        <v>133</v>
      </c>
      <c r="B17" t="s">
        <v>211</v>
      </c>
      <c r="C17" s="2">
        <v>0</v>
      </c>
      <c r="D17">
        <f t="shared" si="0"/>
        <v>0</v>
      </c>
      <c r="E17">
        <v>10.75</v>
      </c>
      <c r="F17">
        <f t="shared" si="1"/>
        <v>0</v>
      </c>
      <c r="G17">
        <v>345</v>
      </c>
    </row>
    <row r="18" spans="1:7" x14ac:dyDescent="0.2">
      <c r="A18" t="s">
        <v>180</v>
      </c>
      <c r="B18" t="s">
        <v>210</v>
      </c>
      <c r="C18" s="2">
        <v>0</v>
      </c>
      <c r="D18">
        <f t="shared" si="0"/>
        <v>1</v>
      </c>
      <c r="E18">
        <v>1</v>
      </c>
      <c r="F18">
        <f t="shared" si="1"/>
        <v>0</v>
      </c>
      <c r="G18">
        <v>330</v>
      </c>
    </row>
    <row r="19" spans="1:7" x14ac:dyDescent="0.2">
      <c r="A19" t="s">
        <v>181</v>
      </c>
      <c r="B19" t="s">
        <v>210</v>
      </c>
      <c r="C19" s="2">
        <v>0</v>
      </c>
      <c r="D19">
        <f t="shared" si="0"/>
        <v>1</v>
      </c>
      <c r="E19">
        <v>0.75</v>
      </c>
      <c r="F19">
        <f t="shared" si="1"/>
        <v>0</v>
      </c>
      <c r="G19">
        <v>320</v>
      </c>
    </row>
    <row r="20" spans="1:7" x14ac:dyDescent="0.2">
      <c r="A20" t="s">
        <v>182</v>
      </c>
      <c r="B20" t="s">
        <v>210</v>
      </c>
      <c r="C20" s="2">
        <v>0</v>
      </c>
      <c r="D20">
        <f t="shared" si="0"/>
        <v>1</v>
      </c>
      <c r="E20">
        <v>0.5</v>
      </c>
      <c r="F20">
        <f t="shared" si="1"/>
        <v>0</v>
      </c>
      <c r="G20">
        <v>310</v>
      </c>
    </row>
    <row r="21" spans="1:7" x14ac:dyDescent="0.2">
      <c r="A21" t="s">
        <v>183</v>
      </c>
      <c r="B21" t="s">
        <v>210</v>
      </c>
      <c r="C21" s="2">
        <v>0</v>
      </c>
      <c r="D21">
        <f t="shared" si="0"/>
        <v>1</v>
      </c>
      <c r="E21">
        <v>1.5</v>
      </c>
      <c r="F21">
        <f t="shared" si="1"/>
        <v>0</v>
      </c>
      <c r="G21">
        <v>305</v>
      </c>
    </row>
    <row r="22" spans="1:7" x14ac:dyDescent="0.2">
      <c r="A22" t="s">
        <v>184</v>
      </c>
      <c r="B22" t="s">
        <v>210</v>
      </c>
      <c r="C22" s="2">
        <v>0</v>
      </c>
      <c r="D22">
        <f t="shared" si="0"/>
        <v>1</v>
      </c>
      <c r="E22">
        <v>0.2</v>
      </c>
      <c r="F22">
        <f t="shared" si="1"/>
        <v>0</v>
      </c>
      <c r="G22">
        <v>300</v>
      </c>
    </row>
    <row r="23" spans="1:7" x14ac:dyDescent="0.2">
      <c r="A23" t="s">
        <v>185</v>
      </c>
      <c r="B23" t="s">
        <v>211</v>
      </c>
      <c r="C23" s="2">
        <v>1</v>
      </c>
      <c r="D23">
        <f t="shared" si="0"/>
        <v>0</v>
      </c>
      <c r="E23">
        <v>0.2</v>
      </c>
      <c r="F23">
        <f t="shared" si="1"/>
        <v>0.2</v>
      </c>
      <c r="G23">
        <v>290</v>
      </c>
    </row>
    <row r="24" spans="1:7" x14ac:dyDescent="0.2">
      <c r="A24" t="s">
        <v>186</v>
      </c>
      <c r="B24" t="s">
        <v>211</v>
      </c>
      <c r="C24" s="2">
        <v>1</v>
      </c>
      <c r="D24">
        <f t="shared" si="0"/>
        <v>0</v>
      </c>
      <c r="E24">
        <v>0.2</v>
      </c>
      <c r="F24">
        <f t="shared" si="1"/>
        <v>0.2</v>
      </c>
      <c r="G24">
        <v>280</v>
      </c>
    </row>
    <row r="25" spans="1:7" x14ac:dyDescent="0.2">
      <c r="A25" t="s">
        <v>187</v>
      </c>
      <c r="B25" t="s">
        <v>210</v>
      </c>
      <c r="C25" s="2">
        <v>0</v>
      </c>
      <c r="D25">
        <f t="shared" si="0"/>
        <v>1</v>
      </c>
      <c r="E25">
        <v>1</v>
      </c>
      <c r="F25">
        <f t="shared" si="1"/>
        <v>0</v>
      </c>
      <c r="G25">
        <v>270</v>
      </c>
    </row>
    <row r="26" spans="1:7" x14ac:dyDescent="0.2">
      <c r="A26" t="s">
        <v>188</v>
      </c>
      <c r="B26" t="s">
        <v>211</v>
      </c>
      <c r="C26" s="2">
        <v>0</v>
      </c>
      <c r="D26">
        <f t="shared" si="0"/>
        <v>0</v>
      </c>
      <c r="E26">
        <v>0.2</v>
      </c>
      <c r="F26">
        <f t="shared" si="1"/>
        <v>0</v>
      </c>
      <c r="G26">
        <v>260</v>
      </c>
    </row>
    <row r="27" spans="1:7" x14ac:dyDescent="0.2">
      <c r="A27" t="s">
        <v>189</v>
      </c>
      <c r="B27" t="s">
        <v>211</v>
      </c>
      <c r="C27" s="2">
        <v>0</v>
      </c>
      <c r="D27">
        <f t="shared" si="0"/>
        <v>0</v>
      </c>
      <c r="E27">
        <v>0.2</v>
      </c>
      <c r="F27">
        <f t="shared" si="1"/>
        <v>0</v>
      </c>
      <c r="G27">
        <v>250</v>
      </c>
    </row>
    <row r="28" spans="1:7" x14ac:dyDescent="0.2">
      <c r="A28" t="s">
        <v>190</v>
      </c>
      <c r="B28" t="s">
        <v>211</v>
      </c>
      <c r="C28" s="2">
        <v>0</v>
      </c>
      <c r="D28">
        <f t="shared" si="0"/>
        <v>0</v>
      </c>
      <c r="E28">
        <v>0.2</v>
      </c>
      <c r="F28">
        <f t="shared" si="1"/>
        <v>0</v>
      </c>
      <c r="G28">
        <v>240</v>
      </c>
    </row>
    <row r="29" spans="1:7" x14ac:dyDescent="0.2">
      <c r="A29" t="s">
        <v>191</v>
      </c>
      <c r="B29" t="s">
        <v>210</v>
      </c>
      <c r="C29" s="2">
        <v>0</v>
      </c>
      <c r="D29">
        <f t="shared" si="0"/>
        <v>1</v>
      </c>
      <c r="E29">
        <v>2</v>
      </c>
      <c r="F29">
        <f t="shared" si="1"/>
        <v>0</v>
      </c>
      <c r="G29">
        <v>230</v>
      </c>
    </row>
    <row r="30" spans="1:7" x14ac:dyDescent="0.2">
      <c r="A30" t="s">
        <v>192</v>
      </c>
      <c r="B30" t="s">
        <v>210</v>
      </c>
      <c r="C30" s="2">
        <v>0</v>
      </c>
      <c r="D30">
        <f t="shared" si="0"/>
        <v>1</v>
      </c>
      <c r="E30">
        <v>0.5</v>
      </c>
      <c r="F30">
        <f t="shared" si="1"/>
        <v>0</v>
      </c>
      <c r="G30">
        <v>220</v>
      </c>
    </row>
    <row r="31" spans="1:7" x14ac:dyDescent="0.2">
      <c r="A31" t="s">
        <v>193</v>
      </c>
      <c r="B31" t="s">
        <v>210</v>
      </c>
      <c r="C31" s="2">
        <v>0</v>
      </c>
      <c r="D31">
        <f t="shared" si="0"/>
        <v>1</v>
      </c>
      <c r="E31">
        <v>0.5</v>
      </c>
      <c r="F31">
        <f t="shared" si="1"/>
        <v>0</v>
      </c>
      <c r="G31">
        <v>210</v>
      </c>
    </row>
    <row r="32" spans="1:7" x14ac:dyDescent="0.2">
      <c r="A32" t="s">
        <v>194</v>
      </c>
      <c r="B32" t="s">
        <v>210</v>
      </c>
      <c r="C32" s="2">
        <v>0</v>
      </c>
      <c r="D32">
        <f t="shared" si="0"/>
        <v>1</v>
      </c>
      <c r="E32">
        <v>0.5</v>
      </c>
      <c r="F32">
        <f t="shared" si="1"/>
        <v>0</v>
      </c>
      <c r="G32">
        <v>200</v>
      </c>
    </row>
    <row r="33" spans="1:7" x14ac:dyDescent="0.2">
      <c r="A33" t="s">
        <v>195</v>
      </c>
      <c r="B33" t="s">
        <v>210</v>
      </c>
      <c r="C33" s="2">
        <v>0</v>
      </c>
      <c r="D33">
        <f t="shared" si="0"/>
        <v>1</v>
      </c>
      <c r="E33">
        <v>1.5</v>
      </c>
      <c r="F33">
        <f t="shared" si="1"/>
        <v>0</v>
      </c>
      <c r="G33">
        <v>195</v>
      </c>
    </row>
    <row r="34" spans="1:7" x14ac:dyDescent="0.2">
      <c r="A34" t="s">
        <v>196</v>
      </c>
      <c r="B34" t="s">
        <v>210</v>
      </c>
      <c r="C34" s="2">
        <v>0</v>
      </c>
      <c r="D34">
        <f t="shared" si="0"/>
        <v>1</v>
      </c>
      <c r="E34">
        <v>1</v>
      </c>
      <c r="F34">
        <f t="shared" si="1"/>
        <v>0</v>
      </c>
      <c r="G34">
        <v>190</v>
      </c>
    </row>
    <row r="35" spans="1:7" x14ac:dyDescent="0.2">
      <c r="A35" t="s">
        <v>197</v>
      </c>
      <c r="B35" t="s">
        <v>210</v>
      </c>
      <c r="C35" s="2">
        <v>0</v>
      </c>
      <c r="D35">
        <f t="shared" si="0"/>
        <v>1</v>
      </c>
      <c r="E35">
        <v>0.5</v>
      </c>
      <c r="F35">
        <f t="shared" si="1"/>
        <v>0</v>
      </c>
      <c r="G35">
        <v>175</v>
      </c>
    </row>
    <row r="36" spans="1:7" x14ac:dyDescent="0.2">
      <c r="A36" t="s">
        <v>198</v>
      </c>
      <c r="B36" t="s">
        <v>210</v>
      </c>
      <c r="C36" s="2">
        <v>0</v>
      </c>
      <c r="D36">
        <f t="shared" si="0"/>
        <v>1</v>
      </c>
      <c r="E36">
        <v>0.2</v>
      </c>
      <c r="F36">
        <f t="shared" si="1"/>
        <v>0</v>
      </c>
      <c r="G36">
        <v>170</v>
      </c>
    </row>
    <row r="37" spans="1:7" x14ac:dyDescent="0.2">
      <c r="A37" t="s">
        <v>199</v>
      </c>
      <c r="B37" t="s">
        <v>211</v>
      </c>
      <c r="C37" s="2">
        <v>0</v>
      </c>
      <c r="D37">
        <f t="shared" si="0"/>
        <v>0</v>
      </c>
      <c r="E37">
        <v>0.5</v>
      </c>
      <c r="F37">
        <f t="shared" si="1"/>
        <v>0</v>
      </c>
      <c r="G37">
        <v>165</v>
      </c>
    </row>
    <row r="38" spans="1:7" x14ac:dyDescent="0.2">
      <c r="A38" t="s">
        <v>64</v>
      </c>
      <c r="B38" t="s">
        <v>210</v>
      </c>
      <c r="C38" s="2">
        <v>0</v>
      </c>
      <c r="D38">
        <f t="shared" si="0"/>
        <v>1</v>
      </c>
      <c r="E38">
        <v>4</v>
      </c>
      <c r="F38">
        <f t="shared" si="1"/>
        <v>0</v>
      </c>
      <c r="G38">
        <v>160</v>
      </c>
    </row>
    <row r="39" spans="1:7" x14ac:dyDescent="0.2">
      <c r="A39" t="s">
        <v>200</v>
      </c>
      <c r="B39" t="s">
        <v>211</v>
      </c>
      <c r="C39" s="2">
        <v>0</v>
      </c>
      <c r="D39">
        <f t="shared" si="0"/>
        <v>0</v>
      </c>
      <c r="E39">
        <v>1</v>
      </c>
      <c r="F39">
        <f t="shared" si="1"/>
        <v>0</v>
      </c>
      <c r="G39">
        <v>155</v>
      </c>
    </row>
    <row r="40" spans="1:7" x14ac:dyDescent="0.2">
      <c r="A40" t="s">
        <v>181</v>
      </c>
      <c r="B40" t="s">
        <v>210</v>
      </c>
      <c r="C40" s="2">
        <v>0</v>
      </c>
      <c r="D40">
        <f t="shared" si="0"/>
        <v>1</v>
      </c>
      <c r="E40">
        <v>0.75</v>
      </c>
      <c r="F40">
        <f t="shared" si="1"/>
        <v>0</v>
      </c>
      <c r="G40">
        <v>150</v>
      </c>
    </row>
    <row r="41" spans="1:7" x14ac:dyDescent="0.2">
      <c r="A41" t="s">
        <v>201</v>
      </c>
      <c r="B41" t="s">
        <v>210</v>
      </c>
      <c r="C41" s="2">
        <v>0</v>
      </c>
      <c r="D41">
        <f t="shared" si="0"/>
        <v>1</v>
      </c>
      <c r="E41">
        <v>0.55000000000000004</v>
      </c>
      <c r="F41">
        <f t="shared" si="1"/>
        <v>0</v>
      </c>
      <c r="G41">
        <v>145</v>
      </c>
    </row>
    <row r="42" spans="1:7" x14ac:dyDescent="0.2">
      <c r="A42" t="s">
        <v>199</v>
      </c>
      <c r="B42" t="s">
        <v>211</v>
      </c>
      <c r="C42" s="2">
        <v>0</v>
      </c>
      <c r="D42">
        <f t="shared" si="0"/>
        <v>0</v>
      </c>
      <c r="E42">
        <v>0.5</v>
      </c>
      <c r="F42">
        <f t="shared" si="1"/>
        <v>0</v>
      </c>
      <c r="G42">
        <v>140</v>
      </c>
    </row>
    <row r="43" spans="1:7" x14ac:dyDescent="0.2">
      <c r="A43" t="s">
        <v>197</v>
      </c>
      <c r="B43" t="s">
        <v>210</v>
      </c>
      <c r="C43" s="2">
        <v>0</v>
      </c>
      <c r="D43">
        <f t="shared" si="0"/>
        <v>1</v>
      </c>
      <c r="E43">
        <v>0.5</v>
      </c>
      <c r="F43">
        <f t="shared" si="1"/>
        <v>0</v>
      </c>
      <c r="G43">
        <v>135</v>
      </c>
    </row>
    <row r="44" spans="1:7" x14ac:dyDescent="0.2">
      <c r="A44" t="s">
        <v>185</v>
      </c>
      <c r="B44" t="s">
        <v>211</v>
      </c>
      <c r="C44" s="2">
        <v>0</v>
      </c>
      <c r="D44">
        <f t="shared" si="0"/>
        <v>0</v>
      </c>
      <c r="E44">
        <v>0.2</v>
      </c>
      <c r="F44">
        <f t="shared" si="1"/>
        <v>0</v>
      </c>
      <c r="G44">
        <v>130</v>
      </c>
    </row>
    <row r="45" spans="1:7" x14ac:dyDescent="0.2">
      <c r="A45" t="s">
        <v>189</v>
      </c>
      <c r="B45" t="s">
        <v>211</v>
      </c>
      <c r="C45" s="2">
        <v>0</v>
      </c>
      <c r="D45">
        <f t="shared" si="0"/>
        <v>0</v>
      </c>
      <c r="E45">
        <v>0.2</v>
      </c>
      <c r="F45">
        <f t="shared" si="1"/>
        <v>0</v>
      </c>
      <c r="G45">
        <v>125</v>
      </c>
    </row>
    <row r="46" spans="1:7" x14ac:dyDescent="0.2">
      <c r="A46" t="s">
        <v>192</v>
      </c>
      <c r="B46" t="s">
        <v>210</v>
      </c>
      <c r="C46" s="2">
        <v>0</v>
      </c>
      <c r="D46">
        <f t="shared" si="0"/>
        <v>1</v>
      </c>
      <c r="E46">
        <v>0.5</v>
      </c>
      <c r="F46">
        <f t="shared" si="1"/>
        <v>0</v>
      </c>
      <c r="G46">
        <v>120</v>
      </c>
    </row>
    <row r="47" spans="1:7" x14ac:dyDescent="0.2">
      <c r="A47" t="s">
        <v>194</v>
      </c>
      <c r="B47" t="s">
        <v>210</v>
      </c>
      <c r="C47" s="2">
        <v>0</v>
      </c>
      <c r="D47">
        <f t="shared" si="0"/>
        <v>1</v>
      </c>
      <c r="E47">
        <v>0.5</v>
      </c>
      <c r="F47">
        <f t="shared" si="1"/>
        <v>0</v>
      </c>
      <c r="G47">
        <v>115</v>
      </c>
    </row>
    <row r="50" spans="2:7" x14ac:dyDescent="0.2">
      <c r="E50" t="s">
        <v>214</v>
      </c>
      <c r="F50" s="5">
        <f>SUM(F2:F47)</f>
        <v>15.899999999999999</v>
      </c>
      <c r="G50" t="s">
        <v>216</v>
      </c>
    </row>
    <row r="51" spans="2:7" x14ac:dyDescent="0.2">
      <c r="B51" t="s">
        <v>206</v>
      </c>
      <c r="C51" s="5">
        <f>SUM(C2:C47)</f>
        <v>6</v>
      </c>
      <c r="E51" t="s">
        <v>215</v>
      </c>
      <c r="F51">
        <v>18</v>
      </c>
      <c r="G51" t="s">
        <v>216</v>
      </c>
    </row>
    <row r="53" spans="2:7" x14ac:dyDescent="0.2">
      <c r="B53" t="s">
        <v>225</v>
      </c>
      <c r="C53">
        <v>3</v>
      </c>
      <c r="E53" s="3" t="s">
        <v>213</v>
      </c>
      <c r="F53" s="3">
        <f>SUMPRODUCT(C2:C47,G2:G47)</f>
        <v>2240</v>
      </c>
    </row>
    <row r="54" spans="2:7" x14ac:dyDescent="0.2">
      <c r="B54" t="s">
        <v>226</v>
      </c>
      <c r="C54">
        <v>6</v>
      </c>
    </row>
    <row r="56" spans="2:7" x14ac:dyDescent="0.2">
      <c r="B56" t="s">
        <v>220</v>
      </c>
      <c r="C56" s="5">
        <f>SUMPRODUCT(C2:C47,D2:D47)</f>
        <v>3</v>
      </c>
    </row>
    <row r="57" spans="2:7" x14ac:dyDescent="0.2">
      <c r="B57" t="s">
        <v>228</v>
      </c>
      <c r="C57">
        <v>3</v>
      </c>
    </row>
    <row r="58" spans="2:7" x14ac:dyDescent="0.2">
      <c r="B58" t="s">
        <v>227</v>
      </c>
      <c r="C58">
        <f>8-('Batting Selection'!C53+'Bowling Selection'!C52+C57)</f>
        <v>3</v>
      </c>
    </row>
  </sheetData>
  <autoFilter ref="A1:G47" xr:uid="{0D25AF95-8F37-114E-818D-52625E7691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Batter List</vt:lpstr>
      <vt:lpstr>Bowler List</vt:lpstr>
      <vt:lpstr>Allrounders List</vt:lpstr>
      <vt:lpstr>Batting Selection</vt:lpstr>
      <vt:lpstr>Bowling Selection</vt:lpstr>
      <vt:lpstr>All Rounder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Chiradip Lahiri</dc:creator>
  <cp:lastModifiedBy>Chiradip Lahiri</cp:lastModifiedBy>
  <dcterms:created xsi:type="dcterms:W3CDTF">2024-08-10T11:16:07Z</dcterms:created>
  <dcterms:modified xsi:type="dcterms:W3CDTF">2024-08-18T19:16:48Z</dcterms:modified>
</cp:coreProperties>
</file>